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cli_nrf_sniffer\"/>
    </mc:Choice>
  </mc:AlternateContent>
  <xr:revisionPtr revIDLastSave="0" documentId="13_ncr:1_{BB7E2DF9-6724-4432-851A-FEF64F182961}" xr6:coauthVersionLast="47" xr6:coauthVersionMax="47" xr10:uidLastSave="{00000000-0000-0000-0000-000000000000}"/>
  <bookViews>
    <workbookView xWindow="-120" yWindow="-120" windowWidth="29040" windowHeight="15720" xr2:uid="{5C0789A1-198E-405B-BE65-45E69C76993A}"/>
  </bookViews>
  <sheets>
    <sheet name="Лист1" sheetId="1" r:id="rId1"/>
  </sheets>
  <definedNames>
    <definedName name="_xlnm._FilterDatabase" localSheetId="0" hidden="1">Лист1!$B$2:$D$96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1" l="1"/>
  <c r="H4" i="1" s="1"/>
  <c r="H5" i="1" s="1"/>
  <c r="H6" i="1" s="1"/>
  <c r="E5" i="1"/>
  <c r="F5" i="1" s="1"/>
  <c r="F6" i="1" s="1"/>
  <c r="F7" i="1" s="1"/>
  <c r="F8" i="1" s="1"/>
  <c r="E6" i="1"/>
  <c r="K6" i="1" s="1"/>
  <c r="K7" i="1" s="1"/>
  <c r="K8" i="1" s="1"/>
  <c r="K9" i="1" s="1"/>
  <c r="K10" i="1" s="1"/>
  <c r="K11" i="1" s="1"/>
  <c r="K12" i="1" s="1"/>
  <c r="E7" i="1"/>
  <c r="H7" i="1" s="1"/>
  <c r="E8" i="1"/>
  <c r="I8" i="1" s="1"/>
  <c r="I9" i="1" s="1"/>
  <c r="I10" i="1" s="1"/>
  <c r="I11" i="1" s="1"/>
  <c r="I12" i="1" s="1"/>
  <c r="I13" i="1" s="1"/>
  <c r="I14" i="1" s="1"/>
  <c r="E9" i="1"/>
  <c r="F9" i="1" s="1"/>
  <c r="E10" i="1"/>
  <c r="G10" i="1" s="1"/>
  <c r="E11" i="1"/>
  <c r="H11" i="1" s="1"/>
  <c r="E12" i="1"/>
  <c r="F12" i="1" s="1"/>
  <c r="E13" i="1"/>
  <c r="K13" i="1" s="1"/>
  <c r="Q13" i="1" s="1"/>
  <c r="E14" i="1"/>
  <c r="H14" i="1" s="1"/>
  <c r="E15" i="1"/>
  <c r="I15" i="1" s="1"/>
  <c r="E16" i="1"/>
  <c r="F16" i="1" s="1"/>
  <c r="E17" i="1"/>
  <c r="G17" i="1" s="1"/>
  <c r="E18" i="1"/>
  <c r="H18" i="1" s="1"/>
  <c r="E19" i="1"/>
  <c r="F19" i="1" s="1"/>
  <c r="E20" i="1"/>
  <c r="K20" i="1" s="1"/>
  <c r="E21" i="1"/>
  <c r="H21" i="1" s="1"/>
  <c r="E22" i="1"/>
  <c r="I22" i="1" s="1"/>
  <c r="E23" i="1"/>
  <c r="F23" i="1" s="1"/>
  <c r="E24" i="1"/>
  <c r="G24" i="1" s="1"/>
  <c r="E25" i="1"/>
  <c r="H25" i="1" s="1"/>
  <c r="E26" i="1"/>
  <c r="F26" i="1" s="1"/>
  <c r="E27" i="1"/>
  <c r="K27" i="1" s="1"/>
  <c r="E28" i="1"/>
  <c r="H28" i="1" s="1"/>
  <c r="E29" i="1"/>
  <c r="I29" i="1" s="1"/>
  <c r="E30" i="1"/>
  <c r="F30" i="1" s="1"/>
  <c r="E31" i="1"/>
  <c r="H31" i="1" s="1"/>
  <c r="E32" i="1"/>
  <c r="F32" i="1" s="1"/>
  <c r="E33" i="1"/>
  <c r="K33" i="1" s="1"/>
  <c r="E34" i="1"/>
  <c r="H34" i="1" s="1"/>
  <c r="E35" i="1"/>
  <c r="I35" i="1" s="1"/>
  <c r="E36" i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E37" i="1"/>
  <c r="G37" i="1" s="1"/>
  <c r="E38" i="1"/>
  <c r="H38" i="1" s="1"/>
  <c r="E39" i="1"/>
  <c r="F39" i="1" s="1"/>
  <c r="E40" i="1"/>
  <c r="H40" i="1" s="1"/>
  <c r="E41" i="1"/>
  <c r="K41" i="1" s="1"/>
  <c r="E42" i="1"/>
  <c r="F42" i="1" s="1"/>
  <c r="E43" i="1"/>
  <c r="I43" i="1" s="1"/>
  <c r="E44" i="1"/>
  <c r="H44" i="1" s="1"/>
  <c r="E45" i="1"/>
  <c r="G45" i="1" s="1"/>
  <c r="E46" i="1"/>
  <c r="F46" i="1" s="1"/>
  <c r="E47" i="1"/>
  <c r="H47" i="1" s="1"/>
  <c r="E48" i="1"/>
  <c r="K48" i="1" s="1"/>
  <c r="E49" i="1"/>
  <c r="F49" i="1" s="1"/>
  <c r="E50" i="1"/>
  <c r="I50" i="1" s="1"/>
  <c r="E51" i="1"/>
  <c r="H51" i="1" s="1"/>
  <c r="E52" i="1"/>
  <c r="G52" i="1" s="1"/>
  <c r="E53" i="1"/>
  <c r="F53" i="1" s="1"/>
  <c r="E54" i="1"/>
  <c r="H54" i="1" s="1"/>
  <c r="E55" i="1"/>
  <c r="K55" i="1" s="1"/>
  <c r="E56" i="1"/>
  <c r="F56" i="1" s="1"/>
  <c r="E57" i="1"/>
  <c r="I57" i="1" s="1"/>
  <c r="E58" i="1"/>
  <c r="H58" i="1" s="1"/>
  <c r="E59" i="1"/>
  <c r="G59" i="1" s="1"/>
  <c r="E60" i="1"/>
  <c r="F60" i="1" s="1"/>
  <c r="E61" i="1"/>
  <c r="H61" i="1" s="1"/>
  <c r="E62" i="1"/>
  <c r="K62" i="1" s="1"/>
  <c r="E63" i="1"/>
  <c r="J63" i="1" s="1"/>
  <c r="E64" i="1"/>
  <c r="I64" i="1" s="1"/>
  <c r="E65" i="1"/>
  <c r="H65" i="1" s="1"/>
  <c r="E66" i="1"/>
  <c r="G66" i="1" s="1"/>
  <c r="E67" i="1"/>
  <c r="F67" i="1" s="1"/>
  <c r="E68" i="1"/>
  <c r="H68" i="1" s="1"/>
  <c r="E69" i="1"/>
  <c r="K69" i="1" s="1"/>
  <c r="E70" i="1"/>
  <c r="F70" i="1" s="1"/>
  <c r="E71" i="1"/>
  <c r="I71" i="1" s="1"/>
  <c r="E72" i="1"/>
  <c r="H72" i="1" s="1"/>
  <c r="E73" i="1"/>
  <c r="G73" i="1" s="1"/>
  <c r="E74" i="1"/>
  <c r="J74" i="1" s="1"/>
  <c r="E75" i="1"/>
  <c r="H75" i="1" s="1"/>
  <c r="E76" i="1"/>
  <c r="K76" i="1" s="1"/>
  <c r="E77" i="1"/>
  <c r="F77" i="1" s="1"/>
  <c r="E78" i="1"/>
  <c r="I78" i="1" s="1"/>
  <c r="E79" i="1"/>
  <c r="H79" i="1" s="1"/>
  <c r="E80" i="1"/>
  <c r="G80" i="1" s="1"/>
  <c r="E81" i="1"/>
  <c r="F81" i="1" s="1"/>
  <c r="E82" i="1"/>
  <c r="H82" i="1" s="1"/>
  <c r="E83" i="1"/>
  <c r="K83" i="1" s="1"/>
  <c r="E84" i="1"/>
  <c r="F84" i="1" s="1"/>
  <c r="E85" i="1"/>
  <c r="I85" i="1" s="1"/>
  <c r="E86" i="1"/>
  <c r="H86" i="1" s="1"/>
  <c r="E87" i="1"/>
  <c r="G87" i="1" s="1"/>
  <c r="E88" i="1"/>
  <c r="F88" i="1" s="1"/>
  <c r="E89" i="1"/>
  <c r="H89" i="1" s="1"/>
  <c r="E90" i="1"/>
  <c r="F90" i="1" s="1"/>
  <c r="E91" i="1"/>
  <c r="K91" i="1" s="1"/>
  <c r="E92" i="1"/>
  <c r="H92" i="1" s="1"/>
  <c r="E93" i="1"/>
  <c r="I93" i="1" s="1"/>
  <c r="E94" i="1"/>
  <c r="F94" i="1" s="1"/>
  <c r="E95" i="1"/>
  <c r="G95" i="1" s="1"/>
  <c r="E96" i="1"/>
  <c r="H96" i="1" s="1"/>
  <c r="E3" i="1"/>
  <c r="G3" i="1" s="1"/>
  <c r="G4" i="1" s="1"/>
  <c r="G5" i="1" s="1"/>
  <c r="G6" i="1" s="1"/>
  <c r="G7" i="1" s="1"/>
  <c r="G8" i="1" s="1"/>
  <c r="G9" i="1" s="1"/>
  <c r="P63" i="1" l="1"/>
  <c r="N7" i="1"/>
  <c r="O15" i="1"/>
  <c r="M10" i="1"/>
  <c r="L9" i="1"/>
  <c r="K14" i="1"/>
  <c r="K15" i="1" s="1"/>
  <c r="K16" i="1" s="1"/>
  <c r="K17" i="1" s="1"/>
  <c r="K18" i="1" s="1"/>
  <c r="K19" i="1" s="1"/>
  <c r="J64" i="1"/>
  <c r="J65" i="1" s="1"/>
  <c r="J66" i="1" s="1"/>
  <c r="J67" i="1" s="1"/>
  <c r="J68" i="1" s="1"/>
  <c r="J69" i="1" s="1"/>
  <c r="J70" i="1" s="1"/>
  <c r="J71" i="1" s="1"/>
  <c r="J72" i="1" s="1"/>
  <c r="J73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I16" i="1"/>
  <c r="I17" i="1" s="1"/>
  <c r="I18" i="1" s="1"/>
  <c r="I19" i="1" s="1"/>
  <c r="I20" i="1" s="1"/>
  <c r="I21" i="1" s="1"/>
  <c r="I23" i="1" s="1"/>
  <c r="I24" i="1" s="1"/>
  <c r="I25" i="1" s="1"/>
  <c r="I26" i="1" s="1"/>
  <c r="I27" i="1" s="1"/>
  <c r="I28" i="1" s="1"/>
  <c r="H8" i="1"/>
  <c r="H9" i="1" s="1"/>
  <c r="H10" i="1" s="1"/>
  <c r="G11" i="1"/>
  <c r="G12" i="1" s="1"/>
  <c r="G13" i="1" s="1"/>
  <c r="G14" i="1" s="1"/>
  <c r="G15" i="1" s="1"/>
  <c r="G16" i="1" s="1"/>
  <c r="G18" i="1" s="1"/>
  <c r="G19" i="1" s="1"/>
  <c r="G20" i="1" s="1"/>
  <c r="G21" i="1" s="1"/>
  <c r="G22" i="1" s="1"/>
  <c r="G23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F10" i="1"/>
  <c r="F11" i="1" s="1"/>
  <c r="K21" i="1" l="1"/>
  <c r="K22" i="1" s="1"/>
  <c r="K23" i="1" s="1"/>
  <c r="K24" i="1" s="1"/>
  <c r="K25" i="1" s="1"/>
  <c r="K26" i="1" s="1"/>
  <c r="Q20" i="1"/>
  <c r="O22" i="1"/>
  <c r="P74" i="1"/>
  <c r="I30" i="1"/>
  <c r="I31" i="1" s="1"/>
  <c r="I32" i="1" s="1"/>
  <c r="I33" i="1" s="1"/>
  <c r="I34" i="1" s="1"/>
  <c r="O29" i="1"/>
  <c r="H12" i="1"/>
  <c r="H13" i="1" s="1"/>
  <c r="N11" i="1"/>
  <c r="G38" i="1"/>
  <c r="G39" i="1" s="1"/>
  <c r="G40" i="1" s="1"/>
  <c r="G41" i="1" s="1"/>
  <c r="G42" i="1" s="1"/>
  <c r="G43" i="1" s="1"/>
  <c r="G44" i="1" s="1"/>
  <c r="M37" i="1"/>
  <c r="M17" i="1"/>
  <c r="M24" i="1"/>
  <c r="F13" i="1"/>
  <c r="F14" i="1" s="1"/>
  <c r="F15" i="1" s="1"/>
  <c r="L12" i="1"/>
  <c r="K28" i="1" l="1"/>
  <c r="K29" i="1" s="1"/>
  <c r="K30" i="1" s="1"/>
  <c r="K31" i="1" s="1"/>
  <c r="K32" i="1" s="1"/>
  <c r="Q27" i="1"/>
  <c r="I36" i="1"/>
  <c r="I37" i="1" s="1"/>
  <c r="I38" i="1" s="1"/>
  <c r="I39" i="1" s="1"/>
  <c r="I40" i="1" s="1"/>
  <c r="I41" i="1" s="1"/>
  <c r="I42" i="1" s="1"/>
  <c r="O35" i="1"/>
  <c r="H15" i="1"/>
  <c r="H16" i="1" s="1"/>
  <c r="H17" i="1" s="1"/>
  <c r="N14" i="1"/>
  <c r="G46" i="1"/>
  <c r="G47" i="1" s="1"/>
  <c r="G48" i="1" s="1"/>
  <c r="G49" i="1" s="1"/>
  <c r="G50" i="1" s="1"/>
  <c r="G51" i="1" s="1"/>
  <c r="M45" i="1"/>
  <c r="F17" i="1"/>
  <c r="F18" i="1" s="1"/>
  <c r="L16" i="1"/>
  <c r="K34" i="1" l="1"/>
  <c r="K35" i="1" s="1"/>
  <c r="K36" i="1" s="1"/>
  <c r="K37" i="1" s="1"/>
  <c r="K38" i="1" s="1"/>
  <c r="K39" i="1" s="1"/>
  <c r="K40" i="1" s="1"/>
  <c r="Q33" i="1"/>
  <c r="I44" i="1"/>
  <c r="I45" i="1" s="1"/>
  <c r="I46" i="1" s="1"/>
  <c r="I47" i="1" s="1"/>
  <c r="I48" i="1" s="1"/>
  <c r="I49" i="1" s="1"/>
  <c r="O43" i="1"/>
  <c r="H19" i="1"/>
  <c r="H20" i="1" s="1"/>
  <c r="N18" i="1"/>
  <c r="G53" i="1"/>
  <c r="G54" i="1" s="1"/>
  <c r="G55" i="1" s="1"/>
  <c r="G56" i="1" s="1"/>
  <c r="G57" i="1" s="1"/>
  <c r="G58" i="1" s="1"/>
  <c r="M52" i="1"/>
  <c r="F20" i="1"/>
  <c r="F21" i="1" s="1"/>
  <c r="F22" i="1" s="1"/>
  <c r="L19" i="1"/>
  <c r="K42" i="1" l="1"/>
  <c r="K43" i="1" s="1"/>
  <c r="K44" i="1" s="1"/>
  <c r="K45" i="1" s="1"/>
  <c r="K46" i="1" s="1"/>
  <c r="K47" i="1" s="1"/>
  <c r="Q41" i="1"/>
  <c r="I51" i="1"/>
  <c r="I52" i="1" s="1"/>
  <c r="I53" i="1" s="1"/>
  <c r="I54" i="1" s="1"/>
  <c r="I55" i="1" s="1"/>
  <c r="I56" i="1" s="1"/>
  <c r="O50" i="1"/>
  <c r="H22" i="1"/>
  <c r="H23" i="1" s="1"/>
  <c r="H24" i="1" s="1"/>
  <c r="N21" i="1"/>
  <c r="G60" i="1"/>
  <c r="G61" i="1" s="1"/>
  <c r="G62" i="1" s="1"/>
  <c r="G63" i="1" s="1"/>
  <c r="G64" i="1" s="1"/>
  <c r="G65" i="1" s="1"/>
  <c r="M59" i="1"/>
  <c r="F24" i="1"/>
  <c r="F25" i="1" s="1"/>
  <c r="L23" i="1"/>
  <c r="K49" i="1" l="1"/>
  <c r="K50" i="1" s="1"/>
  <c r="K51" i="1" s="1"/>
  <c r="K52" i="1" s="1"/>
  <c r="K53" i="1" s="1"/>
  <c r="K54" i="1" s="1"/>
  <c r="Q48" i="1"/>
  <c r="I58" i="1"/>
  <c r="I59" i="1" s="1"/>
  <c r="I60" i="1" s="1"/>
  <c r="I61" i="1" s="1"/>
  <c r="I62" i="1" s="1"/>
  <c r="I63" i="1" s="1"/>
  <c r="O57" i="1"/>
  <c r="H26" i="1"/>
  <c r="H27" i="1" s="1"/>
  <c r="N25" i="1"/>
  <c r="G67" i="1"/>
  <c r="G68" i="1" s="1"/>
  <c r="G69" i="1" s="1"/>
  <c r="G70" i="1" s="1"/>
  <c r="G71" i="1" s="1"/>
  <c r="G72" i="1" s="1"/>
  <c r="M66" i="1"/>
  <c r="F27" i="1"/>
  <c r="F28" i="1" s="1"/>
  <c r="F29" i="1" s="1"/>
  <c r="L26" i="1"/>
  <c r="K56" i="1" l="1"/>
  <c r="K57" i="1" s="1"/>
  <c r="K58" i="1" s="1"/>
  <c r="K59" i="1" s="1"/>
  <c r="K60" i="1" s="1"/>
  <c r="K61" i="1" s="1"/>
  <c r="Q55" i="1"/>
  <c r="I65" i="1"/>
  <c r="I66" i="1" s="1"/>
  <c r="I67" i="1" s="1"/>
  <c r="I68" i="1" s="1"/>
  <c r="I69" i="1" s="1"/>
  <c r="I70" i="1" s="1"/>
  <c r="O64" i="1"/>
  <c r="H29" i="1"/>
  <c r="H30" i="1" s="1"/>
  <c r="N28" i="1"/>
  <c r="G74" i="1"/>
  <c r="G75" i="1" s="1"/>
  <c r="G76" i="1" s="1"/>
  <c r="G77" i="1" s="1"/>
  <c r="G78" i="1" s="1"/>
  <c r="G79" i="1" s="1"/>
  <c r="M73" i="1"/>
  <c r="F31" i="1"/>
  <c r="L30" i="1"/>
  <c r="K63" i="1" l="1"/>
  <c r="K64" i="1" s="1"/>
  <c r="K65" i="1" s="1"/>
  <c r="K66" i="1" s="1"/>
  <c r="K67" i="1" s="1"/>
  <c r="K68" i="1" s="1"/>
  <c r="Q62" i="1"/>
  <c r="I72" i="1"/>
  <c r="I73" i="1" s="1"/>
  <c r="I74" i="1" s="1"/>
  <c r="I75" i="1" s="1"/>
  <c r="I76" i="1" s="1"/>
  <c r="I77" i="1" s="1"/>
  <c r="O71" i="1"/>
  <c r="H32" i="1"/>
  <c r="H33" i="1" s="1"/>
  <c r="N31" i="1"/>
  <c r="G81" i="1"/>
  <c r="G82" i="1" s="1"/>
  <c r="G83" i="1" s="1"/>
  <c r="G84" i="1" s="1"/>
  <c r="G85" i="1" s="1"/>
  <c r="G86" i="1" s="1"/>
  <c r="M80" i="1"/>
  <c r="F33" i="1"/>
  <c r="F34" i="1" s="1"/>
  <c r="F35" i="1" s="1"/>
  <c r="F36" i="1" s="1"/>
  <c r="F37" i="1" s="1"/>
  <c r="F38" i="1" s="1"/>
  <c r="L32" i="1"/>
  <c r="K70" i="1" l="1"/>
  <c r="K71" i="1" s="1"/>
  <c r="K72" i="1" s="1"/>
  <c r="K73" i="1" s="1"/>
  <c r="K74" i="1" s="1"/>
  <c r="K75" i="1" s="1"/>
  <c r="Q69" i="1"/>
  <c r="I79" i="1"/>
  <c r="I80" i="1" s="1"/>
  <c r="I81" i="1" s="1"/>
  <c r="I82" i="1" s="1"/>
  <c r="I83" i="1" s="1"/>
  <c r="I84" i="1" s="1"/>
  <c r="O78" i="1"/>
  <c r="H35" i="1"/>
  <c r="H36" i="1" s="1"/>
  <c r="H37" i="1" s="1"/>
  <c r="N34" i="1"/>
  <c r="G88" i="1"/>
  <c r="G89" i="1" s="1"/>
  <c r="G90" i="1" s="1"/>
  <c r="G91" i="1" s="1"/>
  <c r="G92" i="1" s="1"/>
  <c r="G93" i="1" s="1"/>
  <c r="G94" i="1" s="1"/>
  <c r="M87" i="1"/>
  <c r="F40" i="1"/>
  <c r="F41" i="1" s="1"/>
  <c r="L39" i="1"/>
  <c r="K77" i="1" l="1"/>
  <c r="K78" i="1" s="1"/>
  <c r="K79" i="1" s="1"/>
  <c r="K80" i="1" s="1"/>
  <c r="K81" i="1" s="1"/>
  <c r="K82" i="1" s="1"/>
  <c r="Q76" i="1"/>
  <c r="I86" i="1"/>
  <c r="I87" i="1" s="1"/>
  <c r="I88" i="1" s="1"/>
  <c r="I89" i="1" s="1"/>
  <c r="I90" i="1" s="1"/>
  <c r="I91" i="1" s="1"/>
  <c r="I92" i="1" s="1"/>
  <c r="O85" i="1"/>
  <c r="H39" i="1"/>
  <c r="N38" i="1"/>
  <c r="G96" i="1"/>
  <c r="M95" i="1"/>
  <c r="F43" i="1"/>
  <c r="F44" i="1" s="1"/>
  <c r="F45" i="1" s="1"/>
  <c r="L42" i="1"/>
  <c r="K84" i="1" l="1"/>
  <c r="K85" i="1" s="1"/>
  <c r="K86" i="1" s="1"/>
  <c r="K87" i="1" s="1"/>
  <c r="K88" i="1" s="1"/>
  <c r="K89" i="1" s="1"/>
  <c r="K90" i="1" s="1"/>
  <c r="Q83" i="1"/>
  <c r="I94" i="1"/>
  <c r="I95" i="1" s="1"/>
  <c r="I96" i="1" s="1"/>
  <c r="O93" i="1"/>
  <c r="H41" i="1"/>
  <c r="H42" i="1" s="1"/>
  <c r="H43" i="1" s="1"/>
  <c r="N40" i="1"/>
  <c r="F47" i="1"/>
  <c r="F48" i="1" s="1"/>
  <c r="L46" i="1"/>
  <c r="K92" i="1" l="1"/>
  <c r="K93" i="1" s="1"/>
  <c r="K94" i="1" s="1"/>
  <c r="K95" i="1" s="1"/>
  <c r="K96" i="1" s="1"/>
  <c r="Q91" i="1"/>
  <c r="H45" i="1"/>
  <c r="H46" i="1" s="1"/>
  <c r="N44" i="1"/>
  <c r="F50" i="1"/>
  <c r="F51" i="1" s="1"/>
  <c r="F52" i="1" s="1"/>
  <c r="L49" i="1"/>
  <c r="H48" i="1" l="1"/>
  <c r="H49" i="1" s="1"/>
  <c r="H50" i="1" s="1"/>
  <c r="N47" i="1"/>
  <c r="F54" i="1"/>
  <c r="F55" i="1" s="1"/>
  <c r="L53" i="1"/>
  <c r="H52" i="1" l="1"/>
  <c r="H53" i="1" s="1"/>
  <c r="N51" i="1"/>
  <c r="F57" i="1"/>
  <c r="F58" i="1" s="1"/>
  <c r="F59" i="1" s="1"/>
  <c r="L56" i="1"/>
  <c r="H55" i="1" l="1"/>
  <c r="H56" i="1" s="1"/>
  <c r="H57" i="1" s="1"/>
  <c r="N54" i="1"/>
  <c r="F61" i="1"/>
  <c r="F62" i="1" s="1"/>
  <c r="F63" i="1" s="1"/>
  <c r="F64" i="1" s="1"/>
  <c r="F65" i="1" s="1"/>
  <c r="F66" i="1" s="1"/>
  <c r="L60" i="1"/>
  <c r="H59" i="1" l="1"/>
  <c r="H60" i="1" s="1"/>
  <c r="N58" i="1"/>
  <c r="F68" i="1"/>
  <c r="F69" i="1" s="1"/>
  <c r="L67" i="1"/>
  <c r="H62" i="1" l="1"/>
  <c r="H63" i="1" s="1"/>
  <c r="H64" i="1" s="1"/>
  <c r="N61" i="1"/>
  <c r="F71" i="1"/>
  <c r="F72" i="1" s="1"/>
  <c r="F73" i="1" s="1"/>
  <c r="F74" i="1" s="1"/>
  <c r="F75" i="1" s="1"/>
  <c r="F76" i="1" s="1"/>
  <c r="L70" i="1"/>
  <c r="H66" i="1" l="1"/>
  <c r="H67" i="1" s="1"/>
  <c r="N65" i="1"/>
  <c r="F78" i="1"/>
  <c r="F79" i="1" s="1"/>
  <c r="F80" i="1" s="1"/>
  <c r="L77" i="1"/>
  <c r="H69" i="1" l="1"/>
  <c r="H70" i="1" s="1"/>
  <c r="H71" i="1" s="1"/>
  <c r="N68" i="1"/>
  <c r="F82" i="1"/>
  <c r="F83" i="1" s="1"/>
  <c r="L81" i="1"/>
  <c r="H73" i="1" l="1"/>
  <c r="H74" i="1" s="1"/>
  <c r="N72" i="1"/>
  <c r="F85" i="1"/>
  <c r="F86" i="1" s="1"/>
  <c r="F87" i="1" s="1"/>
  <c r="L84" i="1"/>
  <c r="H76" i="1" l="1"/>
  <c r="H77" i="1" s="1"/>
  <c r="H78" i="1" s="1"/>
  <c r="N75" i="1"/>
  <c r="F89" i="1"/>
  <c r="L88" i="1"/>
  <c r="H80" i="1" l="1"/>
  <c r="H81" i="1" s="1"/>
  <c r="N79" i="1"/>
  <c r="F91" i="1"/>
  <c r="F92" i="1" s="1"/>
  <c r="F93" i="1" s="1"/>
  <c r="L90" i="1"/>
  <c r="H83" i="1" l="1"/>
  <c r="H84" i="1" s="1"/>
  <c r="H85" i="1" s="1"/>
  <c r="N82" i="1"/>
  <c r="F95" i="1"/>
  <c r="F96" i="1" s="1"/>
  <c r="L94" i="1"/>
  <c r="H87" i="1" l="1"/>
  <c r="H88" i="1" s="1"/>
  <c r="N86" i="1"/>
  <c r="H90" i="1" l="1"/>
  <c r="H91" i="1" s="1"/>
  <c r="N89" i="1"/>
  <c r="H93" i="1" l="1"/>
  <c r="H94" i="1" s="1"/>
  <c r="H95" i="1" s="1"/>
  <c r="N96" i="1" s="1"/>
  <c r="N92" i="1"/>
</calcChain>
</file>

<file path=xl/sharedStrings.xml><?xml version="1.0" encoding="utf-8"?>
<sst xmlns="http://schemas.openxmlformats.org/spreadsheetml/2006/main" count="111" uniqueCount="23">
  <si>
    <t>c</t>
  </si>
  <si>
    <t>E</t>
  </si>
  <si>
    <t>A</t>
  </si>
  <si>
    <t>w</t>
  </si>
  <si>
    <t>h</t>
  </si>
  <si>
    <t>L</t>
  </si>
  <si>
    <t>symbol</t>
  </si>
  <si>
    <t>value</t>
  </si>
  <si>
    <t>ts</t>
  </si>
  <si>
    <t>30,05,2026</t>
  </si>
  <si>
    <t>t_a</t>
  </si>
  <si>
    <t>t_c</t>
  </si>
  <si>
    <t>t_e</t>
  </si>
  <si>
    <t>t_h</t>
  </si>
  <si>
    <t>t_l</t>
  </si>
  <si>
    <t>t_w</t>
  </si>
  <si>
    <t>dt</t>
  </si>
  <si>
    <t>da</t>
  </si>
  <si>
    <t>dc</t>
  </si>
  <si>
    <t>de</t>
  </si>
  <si>
    <t>dh</t>
  </si>
  <si>
    <t>dl</t>
  </si>
  <si>
    <t>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</si>
</sst>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16" fontId="0" fillId="0" borderId="0" xfId="0" applyNumberFormat="1"/>
    <xf numFmtId="4" fontId="0" fillId="0" borderId="0" xfId="0" applyNumberFormat="1"/>
    <xf numFmtId="0" fontId="1" fillId="2" borderId="0" xfId="1"/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Лист1!$L$2</c:f>
              <c:strCache>
                <c:ptCount val="1"/>
                <c:pt idx="0">
                  <c:v>da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Лист1!$L$3:$L$96</c:f>
              <c:numCache>
                <c:formatCode>General</c:formatCode>
                <c:ptCount val="94"/>
                <c:pt idx="2">
                  <c:v>24.15</c:v>
                </c:pt>
                <c:pt idx="6" formatCode="#,##0.00">
                  <c:v>24.169260025024414</c:v>
                </c:pt>
                <c:pt idx="9" formatCode="#,##0.00">
                  <c:v>24.05964994430542</c:v>
                </c:pt>
                <c:pt idx="13" formatCode="#,##0.00">
                  <c:v>24.253890037536621</c:v>
                </c:pt>
                <c:pt idx="16" formatCode="#,##0.00">
                  <c:v>24.049399852752686</c:v>
                </c:pt>
                <c:pt idx="20" formatCode="#,##0.00">
                  <c:v>24.137020111083984</c:v>
                </c:pt>
                <c:pt idx="23" formatCode="#,##0.00">
                  <c:v>24.224969863891602</c:v>
                </c:pt>
                <c:pt idx="27" formatCode="#,##0.00">
                  <c:v>24.168470144271851</c:v>
                </c:pt>
                <c:pt idx="29" formatCode="#,##0.00">
                  <c:v>24.131069898605347</c:v>
                </c:pt>
                <c:pt idx="36" formatCode="#,##0.00">
                  <c:v>48.21491003036499</c:v>
                </c:pt>
                <c:pt idx="39" formatCode="#,##0.00">
                  <c:v>24.152230024337769</c:v>
                </c:pt>
                <c:pt idx="43" formatCode="#,##0.00">
                  <c:v>24.14001989364624</c:v>
                </c:pt>
                <c:pt idx="46" formatCode="#,##0.00">
                  <c:v>24.213970184326172</c:v>
                </c:pt>
                <c:pt idx="50" formatCode="#,##0.00">
                  <c:v>24.121490001678467</c:v>
                </c:pt>
                <c:pt idx="53" formatCode="#,##0.00">
                  <c:v>24.198139905929565</c:v>
                </c:pt>
                <c:pt idx="57" formatCode="#,##0.00">
                  <c:v>24.077179908752441</c:v>
                </c:pt>
                <c:pt idx="64" formatCode="#,##0.00">
                  <c:v>48.400220155715942</c:v>
                </c:pt>
                <c:pt idx="67" formatCode="#,##0.00">
                  <c:v>24.11555004119873</c:v>
                </c:pt>
                <c:pt idx="74" formatCode="#,##0.00">
                  <c:v>48.249819993972778</c:v>
                </c:pt>
                <c:pt idx="78" formatCode="#,##0.00">
                  <c:v>24.139689922332764</c:v>
                </c:pt>
                <c:pt idx="81" formatCode="#,##0.00">
                  <c:v>24.250319957733154</c:v>
                </c:pt>
                <c:pt idx="85" formatCode="#,##0.00">
                  <c:v>24.146860122680664</c:v>
                </c:pt>
                <c:pt idx="87" formatCode="#,##0.00">
                  <c:v>24.170019865036011</c:v>
                </c:pt>
                <c:pt idx="91" formatCode="#,##0.00">
                  <c:v>24.134510040283203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E1-46D8-80A0-60FE3A8EF552}"/>
            </c:ext>
          </c:extLst>
        </c:ser>
        <c:ser>
          <c:idx val="2"/>
          <c:order val="1"/>
          <c:tx>
            <c:strRef>
              <c:f>Лист1!$M$2</c:f>
              <c:strCache>
                <c:ptCount val="1"/>
                <c:pt idx="0">
                  <c:v>dc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Лист1!$M$3:$M$96</c:f>
              <c:numCache>
                <c:formatCode>General</c:formatCode>
                <c:ptCount val="94"/>
                <c:pt idx="0">
                  <c:v>50.06</c:v>
                </c:pt>
                <c:pt idx="7" formatCode="#,##0.00">
                  <c:v>50.059120178222656</c:v>
                </c:pt>
                <c:pt idx="14" formatCode="#,##0.00">
                  <c:v>50.073149919509888</c:v>
                </c:pt>
                <c:pt idx="21" formatCode="#,##0.00">
                  <c:v>50.160700082778931</c:v>
                </c:pt>
                <c:pt idx="34" formatCode="#,##0.00">
                  <c:v>100.07986998558044</c:v>
                </c:pt>
                <c:pt idx="42" formatCode="#,##0.00">
                  <c:v>50.0624098777771</c:v>
                </c:pt>
                <c:pt idx="49" formatCode="#,##0.00">
                  <c:v>50.081789970397949</c:v>
                </c:pt>
                <c:pt idx="56" formatCode="#,##0.00">
                  <c:v>50.076730012893677</c:v>
                </c:pt>
                <c:pt idx="63" formatCode="#,##0.00">
                  <c:v>50.071799993515015</c:v>
                </c:pt>
                <c:pt idx="70" formatCode="#,##0.00">
                  <c:v>50.112040042877197</c:v>
                </c:pt>
                <c:pt idx="77" formatCode="#,##0.00">
                  <c:v>50.042180061340332</c:v>
                </c:pt>
                <c:pt idx="84" formatCode="#,##0.00">
                  <c:v>50.158220052719116</c:v>
                </c:pt>
                <c:pt idx="92" formatCode="#,##0.00">
                  <c:v>50.001859903335571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8E1-46D8-80A0-60FE3A8EF552}"/>
            </c:ext>
          </c:extLst>
        </c:ser>
        <c:ser>
          <c:idx val="3"/>
          <c:order val="2"/>
          <c:tx>
            <c:strRef>
              <c:f>Лист1!$N$2</c:f>
              <c:strCache>
                <c:ptCount val="1"/>
                <c:pt idx="0">
                  <c:v>de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Лист1!$N$3:$N$96</c:f>
              <c:numCache>
                <c:formatCode>General</c:formatCode>
                <c:ptCount val="94"/>
                <c:pt idx="1">
                  <c:v>24.15</c:v>
                </c:pt>
                <c:pt idx="4" formatCode="#,##0.00">
                  <c:v>24.148149967193604</c:v>
                </c:pt>
                <c:pt idx="8" formatCode="#,##0.00">
                  <c:v>24.141430139541626</c:v>
                </c:pt>
                <c:pt idx="11" formatCode="#,##0.00">
                  <c:v>24.155309915542603</c:v>
                </c:pt>
                <c:pt idx="15" formatCode="#,##0.00">
                  <c:v>24.222000122070313</c:v>
                </c:pt>
                <c:pt idx="18" formatCode="#,##0.00">
                  <c:v>24.074849843978882</c:v>
                </c:pt>
                <c:pt idx="22" formatCode="#,##0.00">
                  <c:v>24.138070106506348</c:v>
                </c:pt>
                <c:pt idx="25" formatCode="#,##0.00">
                  <c:v>24.14411997795105</c:v>
                </c:pt>
                <c:pt idx="28" formatCode="#,##0.00">
                  <c:v>24.22750997543335</c:v>
                </c:pt>
                <c:pt idx="31" formatCode="#,##0.00">
                  <c:v>24.106430053710938</c:v>
                </c:pt>
                <c:pt idx="35" formatCode="#,##0.00">
                  <c:v>24.114150047302246</c:v>
                </c:pt>
                <c:pt idx="37" formatCode="#,##0.00">
                  <c:v>24.148849964141846</c:v>
                </c:pt>
                <c:pt idx="41" formatCode="#,##0.00">
                  <c:v>24.154359817504883</c:v>
                </c:pt>
                <c:pt idx="44" formatCode="#,##0.00">
                  <c:v>24.148250102996826</c:v>
                </c:pt>
                <c:pt idx="48" formatCode="#,##0.00">
                  <c:v>24.144069910049438</c:v>
                </c:pt>
                <c:pt idx="51" formatCode="#,##0.00">
                  <c:v>24.197450160980225</c:v>
                </c:pt>
                <c:pt idx="55" formatCode="#,##0.00">
                  <c:v>24.102129936218262</c:v>
                </c:pt>
                <c:pt idx="58" formatCode="#,##0.00">
                  <c:v>24.189820051193237</c:v>
                </c:pt>
                <c:pt idx="62" formatCode="#,##0.00">
                  <c:v>24.111729860305786</c:v>
                </c:pt>
                <c:pt idx="65" formatCode="#,##0.00">
                  <c:v>24.223360061645508</c:v>
                </c:pt>
                <c:pt idx="69" formatCode="#,##0.00">
                  <c:v>24.070110082626343</c:v>
                </c:pt>
                <c:pt idx="72" formatCode="#,##0.00">
                  <c:v>24.162050008773804</c:v>
                </c:pt>
                <c:pt idx="76" formatCode="#,##0.00">
                  <c:v>24.170559883117676</c:v>
                </c:pt>
                <c:pt idx="79" formatCode="#,##0.00">
                  <c:v>24.141260147094727</c:v>
                </c:pt>
                <c:pt idx="83" formatCode="#,##0.00">
                  <c:v>24.149940013885498</c:v>
                </c:pt>
                <c:pt idx="86" formatCode="#,##0.00">
                  <c:v>24.159469842910767</c:v>
                </c:pt>
                <c:pt idx="89" formatCode="#,##0.00">
                  <c:v>24.15814995765686</c:v>
                </c:pt>
                <c:pt idx="93" formatCode="#,##0.00">
                  <c:v>24.160950183868408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8E1-46D8-80A0-60FE3A8EF552}"/>
            </c:ext>
          </c:extLst>
        </c:ser>
        <c:ser>
          <c:idx val="4"/>
          <c:order val="3"/>
          <c:tx>
            <c:strRef>
              <c:f>Лист1!$O$2</c:f>
              <c:strCache>
                <c:ptCount val="1"/>
                <c:pt idx="0">
                  <c:v>dh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Лист1!$O$3:$O$96</c:f>
              <c:numCache>
                <c:formatCode>General</c:formatCode>
                <c:ptCount val="94"/>
                <c:pt idx="5">
                  <c:v>50.06</c:v>
                </c:pt>
                <c:pt idx="12" formatCode="#,##0.00">
                  <c:v>50.205670118331909</c:v>
                </c:pt>
                <c:pt idx="19" formatCode="#,##0.00">
                  <c:v>49.949620008468628</c:v>
                </c:pt>
                <c:pt idx="26" formatCode="#,##0.00">
                  <c:v>50.16185998916626</c:v>
                </c:pt>
                <c:pt idx="32" formatCode="#,##0.00">
                  <c:v>49.98976993560791</c:v>
                </c:pt>
                <c:pt idx="40" formatCode="#,##0.00">
                  <c:v>50.069420099258423</c:v>
                </c:pt>
                <c:pt idx="47" formatCode="#,##0.00">
                  <c:v>50.078889846801758</c:v>
                </c:pt>
                <c:pt idx="54" formatCode="#,##0.00">
                  <c:v>50.071410179138184</c:v>
                </c:pt>
                <c:pt idx="61" formatCode="#,##0.00">
                  <c:v>50.122809886932373</c:v>
                </c:pt>
                <c:pt idx="68" formatCode="#,##0.00">
                  <c:v>50.028680086135864</c:v>
                </c:pt>
                <c:pt idx="75" formatCode="#,##0.00">
                  <c:v>50.075529813766479</c:v>
                </c:pt>
                <c:pt idx="82" formatCode="#,##0.00">
                  <c:v>50.071410179138184</c:v>
                </c:pt>
                <c:pt idx="90" formatCode="#,##0.00">
                  <c:v>50.062779903411865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8E1-46D8-80A0-60FE3A8EF552}"/>
            </c:ext>
          </c:extLst>
        </c:ser>
        <c:ser>
          <c:idx val="5"/>
          <c:order val="4"/>
          <c:tx>
            <c:strRef>
              <c:f>Лист1!$P$2</c:f>
              <c:strCache>
                <c:ptCount val="1"/>
                <c:pt idx="0">
                  <c:v>dl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Лист1!$P$3:$P$96</c:f>
              <c:numCache>
                <c:formatCode>General</c:formatCode>
                <c:ptCount val="94"/>
                <c:pt idx="33">
                  <c:v>100</c:v>
                </c:pt>
                <c:pt idx="60" formatCode="#,##0.00">
                  <c:v>193.20817995071411</c:v>
                </c:pt>
                <c:pt idx="71" formatCode="#,##0.00">
                  <c:v>72.446239948272705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8E1-46D8-80A0-60FE3A8EF552}"/>
            </c:ext>
          </c:extLst>
        </c:ser>
        <c:ser>
          <c:idx val="6"/>
          <c:order val="5"/>
          <c:tx>
            <c:strRef>
              <c:f>Лист1!$Q$2</c:f>
              <c:strCache>
                <c:ptCount val="1"/>
                <c:pt idx="0">
                  <c:v>dw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strRef>
              <c:f>Лист1!$E:$E</c:f>
              <c:strCache>
                <c:ptCount val="96"/>
                <c:pt idx="1">
                  <c:v>dt</c:v>
                </c:pt>
                <c:pt idx="2">
                  <c:v>0,00</c:v>
                </c:pt>
                <c:pt idx="3">
                  <c:v>9,23</c:v>
                </c:pt>
                <c:pt idx="4">
                  <c:v>21,36</c:v>
                </c:pt>
                <c:pt idx="5">
                  <c:v>25,04</c:v>
                </c:pt>
                <c:pt idx="6">
                  <c:v>33,38</c:v>
                </c:pt>
                <c:pt idx="7">
                  <c:v>37,54</c:v>
                </c:pt>
                <c:pt idx="8">
                  <c:v>45,53</c:v>
                </c:pt>
                <c:pt idx="9">
                  <c:v>50,06</c:v>
                </c:pt>
                <c:pt idx="10">
                  <c:v>57,52</c:v>
                </c:pt>
                <c:pt idx="11">
                  <c:v>69,59</c:v>
                </c:pt>
                <c:pt idx="12">
                  <c:v>75,11</c:v>
                </c:pt>
                <c:pt idx="13">
                  <c:v>81,68</c:v>
                </c:pt>
                <c:pt idx="14">
                  <c:v>87,75</c:v>
                </c:pt>
                <c:pt idx="15">
                  <c:v>93,85</c:v>
                </c:pt>
                <c:pt idx="16">
                  <c:v>100,13</c:v>
                </c:pt>
                <c:pt idx="17">
                  <c:v>105,90</c:v>
                </c:pt>
                <c:pt idx="18">
                  <c:v>117,90</c:v>
                </c:pt>
                <c:pt idx="19">
                  <c:v>125,23</c:v>
                </c:pt>
                <c:pt idx="20">
                  <c:v>129,97</c:v>
                </c:pt>
                <c:pt idx="21">
                  <c:v>137,70</c:v>
                </c:pt>
                <c:pt idx="22">
                  <c:v>142,03</c:v>
                </c:pt>
                <c:pt idx="23">
                  <c:v>150,29</c:v>
                </c:pt>
                <c:pt idx="24">
                  <c:v>154,11</c:v>
                </c:pt>
                <c:pt idx="25">
                  <c:v>166,26</c:v>
                </c:pt>
                <c:pt idx="26">
                  <c:v>175,26</c:v>
                </c:pt>
                <c:pt idx="27">
                  <c:v>178,26</c:v>
                </c:pt>
                <c:pt idx="28">
                  <c:v>187,86</c:v>
                </c:pt>
                <c:pt idx="29">
                  <c:v>190,43</c:v>
                </c:pt>
                <c:pt idx="30">
                  <c:v>202,48</c:v>
                </c:pt>
                <c:pt idx="31">
                  <c:v>214,56</c:v>
                </c:pt>
                <c:pt idx="32">
                  <c:v>225,33</c:v>
                </c:pt>
                <c:pt idx="33">
                  <c:v>226,59</c:v>
                </c:pt>
                <c:pt idx="34">
                  <c:v>237,85</c:v>
                </c:pt>
                <c:pt idx="35">
                  <c:v>238,62</c:v>
                </c:pt>
                <c:pt idx="36">
                  <c:v>250,37</c:v>
                </c:pt>
                <c:pt idx="37">
                  <c:v>250,71</c:v>
                </c:pt>
                <c:pt idx="38">
                  <c:v>262,77</c:v>
                </c:pt>
                <c:pt idx="39">
                  <c:v>274,85</c:v>
                </c:pt>
                <c:pt idx="40">
                  <c:v>275,49</c:v>
                </c:pt>
                <c:pt idx="41">
                  <c:v>286,92</c:v>
                </c:pt>
                <c:pt idx="42">
                  <c:v>287,92</c:v>
                </c:pt>
                <c:pt idx="43">
                  <c:v>299,01</c:v>
                </c:pt>
                <c:pt idx="44">
                  <c:v>300,44</c:v>
                </c:pt>
                <c:pt idx="45">
                  <c:v>311,06</c:v>
                </c:pt>
                <c:pt idx="46">
                  <c:v>323,16</c:v>
                </c:pt>
                <c:pt idx="47">
                  <c:v>325,49</c:v>
                </c:pt>
                <c:pt idx="48">
                  <c:v>335,28</c:v>
                </c:pt>
                <c:pt idx="49">
                  <c:v>338,00</c:v>
                </c:pt>
                <c:pt idx="50">
                  <c:v>347,30</c:v>
                </c:pt>
                <c:pt idx="51">
                  <c:v>350,52</c:v>
                </c:pt>
                <c:pt idx="52">
                  <c:v>359,40</c:v>
                </c:pt>
                <c:pt idx="53">
                  <c:v>371,50</c:v>
                </c:pt>
                <c:pt idx="54">
                  <c:v>375,63</c:v>
                </c:pt>
                <c:pt idx="55">
                  <c:v>383,60</c:v>
                </c:pt>
                <c:pt idx="56">
                  <c:v>388,07</c:v>
                </c:pt>
                <c:pt idx="57">
                  <c:v>395,60</c:v>
                </c:pt>
                <c:pt idx="58">
                  <c:v>400,59</c:v>
                </c:pt>
                <c:pt idx="59">
                  <c:v>407,68</c:v>
                </c:pt>
                <c:pt idx="60">
                  <c:v>419,79</c:v>
                </c:pt>
                <c:pt idx="61">
                  <c:v>425,64</c:v>
                </c:pt>
                <c:pt idx="62">
                  <c:v>431,83</c:v>
                </c:pt>
                <c:pt idx="63">
                  <c:v>438,19</c:v>
                </c:pt>
                <c:pt idx="64">
                  <c:v>443,90</c:v>
                </c:pt>
                <c:pt idx="65">
                  <c:v>450,67</c:v>
                </c:pt>
                <c:pt idx="66">
                  <c:v>456,08</c:v>
                </c:pt>
                <c:pt idx="67">
                  <c:v>468,13</c:v>
                </c:pt>
                <c:pt idx="68">
                  <c:v>475,76</c:v>
                </c:pt>
                <c:pt idx="69">
                  <c:v>480,19</c:v>
                </c:pt>
                <c:pt idx="70">
                  <c:v>488,22</c:v>
                </c:pt>
                <c:pt idx="71">
                  <c:v>492,20</c:v>
                </c:pt>
                <c:pt idx="72">
                  <c:v>500,78</c:v>
                </c:pt>
                <c:pt idx="73">
                  <c:v>504,27</c:v>
                </c:pt>
                <c:pt idx="74">
                  <c:v>516,36</c:v>
                </c:pt>
                <c:pt idx="75">
                  <c:v>525,89</c:v>
                </c:pt>
                <c:pt idx="76">
                  <c:v>528,44</c:v>
                </c:pt>
                <c:pt idx="77">
                  <c:v>538,30</c:v>
                </c:pt>
                <c:pt idx="78">
                  <c:v>540,53</c:v>
                </c:pt>
                <c:pt idx="79">
                  <c:v>550,82</c:v>
                </c:pt>
                <c:pt idx="80">
                  <c:v>552,58</c:v>
                </c:pt>
                <c:pt idx="81">
                  <c:v>564,67</c:v>
                </c:pt>
                <c:pt idx="82">
                  <c:v>575,87</c:v>
                </c:pt>
                <c:pt idx="83">
                  <c:v>576,83</c:v>
                </c:pt>
                <c:pt idx="84">
                  <c:v>588,37</c:v>
                </c:pt>
                <c:pt idx="85">
                  <c:v>588,82</c:v>
                </c:pt>
                <c:pt idx="86">
                  <c:v>600,98</c:v>
                </c:pt>
                <c:pt idx="87">
                  <c:v>600,98</c:v>
                </c:pt>
                <c:pt idx="88">
                  <c:v>612,98</c:v>
                </c:pt>
                <c:pt idx="89">
                  <c:v>625,15</c:v>
                </c:pt>
                <c:pt idx="90">
                  <c:v>625,95</c:v>
                </c:pt>
                <c:pt idx="91">
                  <c:v>637,14</c:v>
                </c:pt>
                <c:pt idx="92">
                  <c:v>638,43</c:v>
                </c:pt>
                <c:pt idx="93">
                  <c:v>649,28</c:v>
                </c:pt>
                <c:pt idx="94">
                  <c:v>650,98</c:v>
                </c:pt>
                <c:pt idx="95">
                  <c:v>661,30</c:v>
                </c:pt>
              </c:strCache>
            </c:strRef>
          </c:xVal>
          <c:yVal>
            <c:numRef>
              <c:f>Лист1!$Q$3:$Q$96</c:f>
              <c:numCache>
                <c:formatCode>General</c:formatCode>
                <c:ptCount val="94"/>
                <c:pt idx="3">
                  <c:v>50.06</c:v>
                </c:pt>
                <c:pt idx="10" formatCode="#,##0.00">
                  <c:v>50.064810037612915</c:v>
                </c:pt>
                <c:pt idx="17" formatCode="#,##0.00">
                  <c:v>50.117189884185791</c:v>
                </c:pt>
                <c:pt idx="24" formatCode="#,##0.00">
                  <c:v>50.033430099487305</c:v>
                </c:pt>
                <c:pt idx="30" formatCode="#,##0.00">
                  <c:v>50.06685996055603</c:v>
                </c:pt>
                <c:pt idx="38" formatCode="#,##0.00">
                  <c:v>50.166490077972412</c:v>
                </c:pt>
                <c:pt idx="45" formatCode="#,##0.00">
                  <c:v>49.993579864501953</c:v>
                </c:pt>
                <c:pt idx="52" formatCode="#,##0.00">
                  <c:v>50.146929979324341</c:v>
                </c:pt>
                <c:pt idx="59" formatCode="#,##0.00">
                  <c:v>50.007260084152222</c:v>
                </c:pt>
                <c:pt idx="66" formatCode="#,##0.00">
                  <c:v>50.124369859695435</c:v>
                </c:pt>
                <c:pt idx="73" formatCode="#,##0.00">
                  <c:v>50.128170013427734</c:v>
                </c:pt>
                <c:pt idx="80" formatCode="#,##0.00">
                  <c:v>49.973060131072998</c:v>
                </c:pt>
                <c:pt idx="88" formatCode="#,##0.00">
                  <c:v>50.080849885940552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8E1-46D8-80A0-60FE3A8EF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2537216"/>
        <c:axId val="692537696"/>
      </c:scatterChart>
      <c:valAx>
        <c:axId val="69253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537696"/>
        <c:crosses val="autoZero"/>
        <c:crossBetween val="midCat"/>
      </c:valAx>
      <c:valAx>
        <c:axId val="69253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92537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171450</xdr:colOff>
      <xdr:row>3</xdr:row>
      <xdr:rowOff>95250</xdr:rowOff>
    </xdr:from>
    <xdr:to>
      <xdr:col>26</xdr:col>
      <xdr:colOff>66675</xdr:colOff>
      <xdr:row>27</xdr:row>
      <xdr:rowOff>33337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30A4BA0-60DA-4096-0AE9-4B84CCCD4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A3985-520E-4141-8E7F-ADB5C423C179}">
  <dimension ref="B2:Q96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Z30" sqref="Z30"/>
    </sheetView>
  </sheetViews>
  <sheetFormatPr defaultRowHeight="15" x14ac:dyDescent="0.25"/>
  <cols>
    <col min="4" max="4" width="15" style="2" bestFit="1" customWidth="1"/>
    <col min="5" max="5" width="9.140625" style="2" customWidth="1"/>
  </cols>
  <sheetData>
    <row r="2" spans="2:17" x14ac:dyDescent="0.25">
      <c r="B2" t="s">
        <v>6</v>
      </c>
      <c r="C2" t="s">
        <v>7</v>
      </c>
      <c r="D2" s="2" t="s">
        <v>8</v>
      </c>
      <c r="E2" s="2" t="s">
        <v>16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</row>
    <row r="3" spans="2:17" x14ac:dyDescent="0.25">
      <c r="B3" t="s">
        <v>0</v>
      </c>
      <c r="C3">
        <v>479</v>
      </c>
      <c r="D3" s="2">
        <v>1769403767.1590099</v>
      </c>
      <c r="E3" s="2">
        <f>D3-$D$3</f>
        <v>0</v>
      </c>
      <c r="G3" s="2">
        <f>E3</f>
        <v>0</v>
      </c>
      <c r="M3">
        <v>50.06</v>
      </c>
    </row>
    <row r="4" spans="2:17" x14ac:dyDescent="0.25">
      <c r="B4" t="s">
        <v>1</v>
      </c>
      <c r="C4">
        <v>-19.375</v>
      </c>
      <c r="D4" s="2">
        <v>1769403776.39218</v>
      </c>
      <c r="E4" s="2">
        <f t="shared" ref="E4:E67" si="0">D4-$D$3</f>
        <v>9.2331700325012207</v>
      </c>
      <c r="G4" s="2">
        <f>G3</f>
        <v>0</v>
      </c>
      <c r="H4" s="2">
        <f>E4</f>
        <v>9.2331700325012207</v>
      </c>
      <c r="N4">
        <v>24.15</v>
      </c>
    </row>
    <row r="5" spans="2:17" x14ac:dyDescent="0.25">
      <c r="B5" t="s">
        <v>2</v>
      </c>
      <c r="C5">
        <v>-19.375</v>
      </c>
      <c r="D5" s="2">
        <v>1769403788.5228901</v>
      </c>
      <c r="E5" s="2">
        <f t="shared" si="0"/>
        <v>21.363880157470703</v>
      </c>
      <c r="F5" s="2">
        <f>E5</f>
        <v>21.363880157470703</v>
      </c>
      <c r="G5" s="2">
        <f t="shared" ref="G5:G68" si="1">G4</f>
        <v>0</v>
      </c>
      <c r="H5" s="2">
        <f>H4</f>
        <v>9.2331700325012207</v>
      </c>
      <c r="L5">
        <v>24.15</v>
      </c>
    </row>
    <row r="6" spans="2:17" x14ac:dyDescent="0.25">
      <c r="B6" t="s">
        <v>3</v>
      </c>
      <c r="C6">
        <v>24.6875</v>
      </c>
      <c r="D6" s="2">
        <v>1769403792.2021</v>
      </c>
      <c r="E6" s="2">
        <f t="shared" si="0"/>
        <v>25.043090105056763</v>
      </c>
      <c r="F6" s="2">
        <f>F5</f>
        <v>21.363880157470703</v>
      </c>
      <c r="G6" s="2">
        <f t="shared" si="1"/>
        <v>0</v>
      </c>
      <c r="H6" s="2">
        <f t="shared" ref="H6:H69" si="2">H5</f>
        <v>9.2331700325012207</v>
      </c>
      <c r="K6" s="2">
        <f>E6</f>
        <v>25.043090105056763</v>
      </c>
      <c r="Q6">
        <v>50.06</v>
      </c>
    </row>
    <row r="7" spans="2:17" x14ac:dyDescent="0.25">
      <c r="B7" t="s">
        <v>1</v>
      </c>
      <c r="C7">
        <v>-19.375</v>
      </c>
      <c r="D7" s="2">
        <v>1769403800.5403299</v>
      </c>
      <c r="E7" s="2">
        <f t="shared" si="0"/>
        <v>33.381319999694824</v>
      </c>
      <c r="F7" s="2">
        <f t="shared" ref="F7:F70" si="3">F6</f>
        <v>21.363880157470703</v>
      </c>
      <c r="G7" s="2">
        <f t="shared" si="1"/>
        <v>0</v>
      </c>
      <c r="H7" s="2">
        <f>E7</f>
        <v>33.381319999694824</v>
      </c>
      <c r="K7" s="2">
        <f>K6</f>
        <v>25.043090105056763</v>
      </c>
      <c r="N7" s="2">
        <f>H7-H6</f>
        <v>24.148149967193604</v>
      </c>
    </row>
    <row r="8" spans="2:17" x14ac:dyDescent="0.25">
      <c r="B8" t="s">
        <v>4</v>
      </c>
      <c r="C8">
        <v>30.9375</v>
      </c>
      <c r="D8" s="2">
        <v>1769403804.7030699</v>
      </c>
      <c r="E8" s="2">
        <f t="shared" si="0"/>
        <v>37.544059991836548</v>
      </c>
      <c r="F8" s="2">
        <f t="shared" si="3"/>
        <v>21.363880157470703</v>
      </c>
      <c r="G8" s="2">
        <f t="shared" si="1"/>
        <v>0</v>
      </c>
      <c r="H8" s="2">
        <f t="shared" si="2"/>
        <v>33.381319999694824</v>
      </c>
      <c r="I8" s="2">
        <f>E8</f>
        <v>37.544059991836548</v>
      </c>
      <c r="K8" s="2">
        <f t="shared" ref="K8:K71" si="4">K7</f>
        <v>25.043090105056763</v>
      </c>
      <c r="O8">
        <v>50.06</v>
      </c>
    </row>
    <row r="9" spans="2:17" x14ac:dyDescent="0.25">
      <c r="B9" t="s">
        <v>2</v>
      </c>
      <c r="C9">
        <v>-19.3125</v>
      </c>
      <c r="D9" s="2">
        <v>1769403812.6921501</v>
      </c>
      <c r="E9" s="2">
        <f t="shared" si="0"/>
        <v>45.533140182495117</v>
      </c>
      <c r="F9" s="2">
        <f>E9</f>
        <v>45.533140182495117</v>
      </c>
      <c r="G9" s="2">
        <f t="shared" si="1"/>
        <v>0</v>
      </c>
      <c r="H9" s="2">
        <f t="shared" si="2"/>
        <v>33.381319999694824</v>
      </c>
      <c r="I9" s="2">
        <f>I8</f>
        <v>37.544059991836548</v>
      </c>
      <c r="K9" s="2">
        <f t="shared" si="4"/>
        <v>25.043090105056763</v>
      </c>
      <c r="L9" s="2">
        <f>F9-F8</f>
        <v>24.169260025024414</v>
      </c>
    </row>
    <row r="10" spans="2:17" x14ac:dyDescent="0.25">
      <c r="B10" t="s">
        <v>0</v>
      </c>
      <c r="C10">
        <v>477</v>
      </c>
      <c r="D10" s="2">
        <v>1769403817.2181301</v>
      </c>
      <c r="E10" s="2">
        <f t="shared" si="0"/>
        <v>50.059120178222656</v>
      </c>
      <c r="F10" s="2">
        <f t="shared" si="3"/>
        <v>45.533140182495117</v>
      </c>
      <c r="G10" s="2">
        <f>E10</f>
        <v>50.059120178222656</v>
      </c>
      <c r="H10" s="2">
        <f t="shared" si="2"/>
        <v>33.381319999694824</v>
      </c>
      <c r="I10" s="2">
        <f t="shared" ref="I10:I73" si="5">I9</f>
        <v>37.544059991836548</v>
      </c>
      <c r="K10" s="2">
        <f t="shared" si="4"/>
        <v>25.043090105056763</v>
      </c>
      <c r="M10" s="2">
        <f>G10-G9</f>
        <v>50.059120178222656</v>
      </c>
    </row>
    <row r="11" spans="2:17" x14ac:dyDescent="0.25">
      <c r="B11" t="s">
        <v>1</v>
      </c>
      <c r="C11">
        <v>-19.3125</v>
      </c>
      <c r="D11" s="2">
        <v>1769403824.6817601</v>
      </c>
      <c r="E11" s="2">
        <f t="shared" si="0"/>
        <v>57.52275013923645</v>
      </c>
      <c r="F11" s="2">
        <f t="shared" si="3"/>
        <v>45.533140182495117</v>
      </c>
      <c r="G11" s="2">
        <f t="shared" si="1"/>
        <v>50.059120178222656</v>
      </c>
      <c r="H11" s="2">
        <f>E11</f>
        <v>57.52275013923645</v>
      </c>
      <c r="I11" s="2">
        <f t="shared" si="5"/>
        <v>37.544059991836548</v>
      </c>
      <c r="K11" s="2">
        <f t="shared" si="4"/>
        <v>25.043090105056763</v>
      </c>
      <c r="N11" s="2">
        <f>H11-H10</f>
        <v>24.141430139541626</v>
      </c>
    </row>
    <row r="12" spans="2:17" x14ac:dyDescent="0.25">
      <c r="B12" t="s">
        <v>2</v>
      </c>
      <c r="C12">
        <v>-19.3125</v>
      </c>
      <c r="D12" s="2">
        <v>1769403836.7518001</v>
      </c>
      <c r="E12" s="2">
        <f t="shared" si="0"/>
        <v>69.592790126800537</v>
      </c>
      <c r="F12" s="2">
        <f>E12</f>
        <v>69.592790126800537</v>
      </c>
      <c r="G12" s="2">
        <f t="shared" si="1"/>
        <v>50.059120178222656</v>
      </c>
      <c r="H12" s="2">
        <f t="shared" si="2"/>
        <v>57.52275013923645</v>
      </c>
      <c r="I12" s="2">
        <f t="shared" si="5"/>
        <v>37.544059991836548</v>
      </c>
      <c r="K12" s="2">
        <f t="shared" si="4"/>
        <v>25.043090105056763</v>
      </c>
      <c r="L12" s="2">
        <f>F12-F11</f>
        <v>24.05964994430542</v>
      </c>
    </row>
    <row r="13" spans="2:17" x14ac:dyDescent="0.25">
      <c r="B13" t="s">
        <v>3</v>
      </c>
      <c r="C13">
        <v>24.625</v>
      </c>
      <c r="D13" s="2">
        <v>1769403842.2669101</v>
      </c>
      <c r="E13" s="2">
        <f t="shared" si="0"/>
        <v>75.107900142669678</v>
      </c>
      <c r="F13" s="2">
        <f t="shared" si="3"/>
        <v>69.592790126800537</v>
      </c>
      <c r="G13" s="2">
        <f t="shared" si="1"/>
        <v>50.059120178222656</v>
      </c>
      <c r="H13" s="2">
        <f t="shared" si="2"/>
        <v>57.52275013923645</v>
      </c>
      <c r="I13" s="2">
        <f t="shared" si="5"/>
        <v>37.544059991836548</v>
      </c>
      <c r="K13" s="2">
        <f>E13</f>
        <v>75.107900142669678</v>
      </c>
      <c r="Q13" s="2">
        <f>K13-K12</f>
        <v>50.064810037612915</v>
      </c>
    </row>
    <row r="14" spans="2:17" x14ac:dyDescent="0.25">
      <c r="B14" t="s">
        <v>1</v>
      </c>
      <c r="C14">
        <v>-19.375</v>
      </c>
      <c r="D14" s="2">
        <v>1769403848.83707</v>
      </c>
      <c r="E14" s="2">
        <f t="shared" si="0"/>
        <v>81.678060054779053</v>
      </c>
      <c r="F14" s="2">
        <f t="shared" si="3"/>
        <v>69.592790126800537</v>
      </c>
      <c r="G14" s="2">
        <f t="shared" si="1"/>
        <v>50.059120178222656</v>
      </c>
      <c r="H14" s="2">
        <f>E14</f>
        <v>81.678060054779053</v>
      </c>
      <c r="I14" s="2">
        <f t="shared" si="5"/>
        <v>37.544059991836548</v>
      </c>
      <c r="K14" s="2">
        <f t="shared" si="4"/>
        <v>75.107900142669678</v>
      </c>
      <c r="N14" s="2">
        <f>H14-H13</f>
        <v>24.155309915542603</v>
      </c>
    </row>
    <row r="15" spans="2:17" x14ac:dyDescent="0.25">
      <c r="B15" t="s">
        <v>4</v>
      </c>
      <c r="C15">
        <v>31.0625</v>
      </c>
      <c r="D15" s="2">
        <v>1769403854.90874</v>
      </c>
      <c r="E15" s="2">
        <f t="shared" si="0"/>
        <v>87.749730110168457</v>
      </c>
      <c r="F15" s="2">
        <f t="shared" si="3"/>
        <v>69.592790126800537</v>
      </c>
      <c r="G15" s="2">
        <f t="shared" si="1"/>
        <v>50.059120178222656</v>
      </c>
      <c r="H15" s="2">
        <f t="shared" si="2"/>
        <v>81.678060054779053</v>
      </c>
      <c r="I15" s="2">
        <f>E15</f>
        <v>87.749730110168457</v>
      </c>
      <c r="K15" s="2">
        <f t="shared" si="4"/>
        <v>75.107900142669678</v>
      </c>
      <c r="O15" s="2">
        <f>I15-I14</f>
        <v>50.205670118331909</v>
      </c>
    </row>
    <row r="16" spans="2:17" x14ac:dyDescent="0.25">
      <c r="B16" t="s">
        <v>2</v>
      </c>
      <c r="C16">
        <v>-19.3125</v>
      </c>
      <c r="D16" s="2">
        <v>1769403861.0056901</v>
      </c>
      <c r="E16" s="2">
        <f t="shared" si="0"/>
        <v>93.846680164337158</v>
      </c>
      <c r="F16" s="2">
        <f>E16</f>
        <v>93.846680164337158</v>
      </c>
      <c r="G16" s="2">
        <f t="shared" si="1"/>
        <v>50.059120178222656</v>
      </c>
      <c r="H16" s="2">
        <f t="shared" si="2"/>
        <v>81.678060054779053</v>
      </c>
      <c r="I16" s="2">
        <f t="shared" si="5"/>
        <v>87.749730110168457</v>
      </c>
      <c r="K16" s="2">
        <f t="shared" si="4"/>
        <v>75.107900142669678</v>
      </c>
      <c r="L16" s="2">
        <f>F16-F15</f>
        <v>24.253890037536621</v>
      </c>
    </row>
    <row r="17" spans="2:17" x14ac:dyDescent="0.25">
      <c r="B17" t="s">
        <v>0</v>
      </c>
      <c r="C17">
        <v>470</v>
      </c>
      <c r="D17" s="2">
        <v>1769403867.29128</v>
      </c>
      <c r="E17" s="2">
        <f t="shared" si="0"/>
        <v>100.13227009773254</v>
      </c>
      <c r="F17" s="2">
        <f t="shared" si="3"/>
        <v>93.846680164337158</v>
      </c>
      <c r="G17" s="2">
        <f>E17</f>
        <v>100.13227009773254</v>
      </c>
      <c r="H17" s="2">
        <f t="shared" si="2"/>
        <v>81.678060054779053</v>
      </c>
      <c r="I17" s="2">
        <f t="shared" si="5"/>
        <v>87.749730110168457</v>
      </c>
      <c r="K17" s="2">
        <f t="shared" si="4"/>
        <v>75.107900142669678</v>
      </c>
      <c r="M17" s="2">
        <f>G17-G16</f>
        <v>50.073149919509888</v>
      </c>
    </row>
    <row r="18" spans="2:17" x14ac:dyDescent="0.25">
      <c r="B18" t="s">
        <v>1</v>
      </c>
      <c r="C18">
        <v>-19.3125</v>
      </c>
      <c r="D18" s="2">
        <v>1769403873.0590701</v>
      </c>
      <c r="E18" s="2">
        <f t="shared" si="0"/>
        <v>105.90006017684937</v>
      </c>
      <c r="F18" s="2">
        <f t="shared" si="3"/>
        <v>93.846680164337158</v>
      </c>
      <c r="G18" s="2">
        <f t="shared" si="1"/>
        <v>100.13227009773254</v>
      </c>
      <c r="H18" s="2">
        <f>E18</f>
        <v>105.90006017684937</v>
      </c>
      <c r="I18" s="2">
        <f t="shared" si="5"/>
        <v>87.749730110168457</v>
      </c>
      <c r="K18" s="2">
        <f t="shared" si="4"/>
        <v>75.107900142669678</v>
      </c>
      <c r="N18" s="2">
        <f>H18-H17</f>
        <v>24.222000122070313</v>
      </c>
    </row>
    <row r="19" spans="2:17" x14ac:dyDescent="0.25">
      <c r="B19" t="s">
        <v>2</v>
      </c>
      <c r="C19">
        <v>-19.3125</v>
      </c>
      <c r="D19" s="2">
        <v>1769403885.05509</v>
      </c>
      <c r="E19" s="2">
        <f t="shared" si="0"/>
        <v>117.89608001708984</v>
      </c>
      <c r="F19" s="2">
        <f>E19</f>
        <v>117.89608001708984</v>
      </c>
      <c r="G19" s="2">
        <f t="shared" si="1"/>
        <v>100.13227009773254</v>
      </c>
      <c r="H19" s="2">
        <f t="shared" si="2"/>
        <v>105.90006017684937</v>
      </c>
      <c r="I19" s="2">
        <f t="shared" si="5"/>
        <v>87.749730110168457</v>
      </c>
      <c r="K19" s="2">
        <f t="shared" si="4"/>
        <v>75.107900142669678</v>
      </c>
      <c r="L19" s="2">
        <f>F19-F18</f>
        <v>24.049399852752686</v>
      </c>
    </row>
    <row r="20" spans="2:17" x14ac:dyDescent="0.25">
      <c r="B20" t="s">
        <v>3</v>
      </c>
      <c r="C20">
        <v>24.6875</v>
      </c>
      <c r="D20" s="2">
        <v>1769403892.3841</v>
      </c>
      <c r="E20" s="2">
        <f t="shared" si="0"/>
        <v>125.22509002685547</v>
      </c>
      <c r="F20" s="2">
        <f t="shared" si="3"/>
        <v>117.89608001708984</v>
      </c>
      <c r="G20" s="2">
        <f t="shared" si="1"/>
        <v>100.13227009773254</v>
      </c>
      <c r="H20" s="2">
        <f t="shared" si="2"/>
        <v>105.90006017684937</v>
      </c>
      <c r="I20" s="2">
        <f t="shared" si="5"/>
        <v>87.749730110168457</v>
      </c>
      <c r="K20" s="2">
        <f>E20</f>
        <v>125.22509002685547</v>
      </c>
      <c r="Q20" s="2">
        <f>K20-K19</f>
        <v>50.117189884185791</v>
      </c>
    </row>
    <row r="21" spans="2:17" x14ac:dyDescent="0.25">
      <c r="B21" t="s">
        <v>1</v>
      </c>
      <c r="C21">
        <v>-19.3125</v>
      </c>
      <c r="D21" s="2">
        <v>1769403897.13392</v>
      </c>
      <c r="E21" s="2">
        <f t="shared" si="0"/>
        <v>129.97491002082825</v>
      </c>
      <c r="F21" s="2">
        <f t="shared" si="3"/>
        <v>117.89608001708984</v>
      </c>
      <c r="G21" s="2">
        <f t="shared" si="1"/>
        <v>100.13227009773254</v>
      </c>
      <c r="H21" s="2">
        <f>E21</f>
        <v>129.97491002082825</v>
      </c>
      <c r="I21" s="2">
        <f t="shared" si="5"/>
        <v>87.749730110168457</v>
      </c>
      <c r="K21" s="2">
        <f t="shared" si="4"/>
        <v>125.22509002685547</v>
      </c>
      <c r="N21" s="2">
        <f>H21-H20</f>
        <v>24.074849843978882</v>
      </c>
    </row>
    <row r="22" spans="2:17" x14ac:dyDescent="0.25">
      <c r="B22" t="s">
        <v>4</v>
      </c>
      <c r="C22">
        <v>30.6875</v>
      </c>
      <c r="D22" s="2">
        <v>1769403904.8583601</v>
      </c>
      <c r="E22" s="2">
        <f t="shared" si="0"/>
        <v>137.69935011863708</v>
      </c>
      <c r="F22" s="2">
        <f t="shared" si="3"/>
        <v>117.89608001708984</v>
      </c>
      <c r="G22" s="2">
        <f t="shared" si="1"/>
        <v>100.13227009773254</v>
      </c>
      <c r="H22" s="2">
        <f t="shared" si="2"/>
        <v>129.97491002082825</v>
      </c>
      <c r="I22" s="2">
        <f>E22</f>
        <v>137.69935011863708</v>
      </c>
      <c r="K22" s="2">
        <f t="shared" si="4"/>
        <v>125.22509002685547</v>
      </c>
      <c r="O22" s="2">
        <f>I22-I21</f>
        <v>49.949620008468628</v>
      </c>
    </row>
    <row r="23" spans="2:17" x14ac:dyDescent="0.25">
      <c r="B23" t="s">
        <v>2</v>
      </c>
      <c r="C23">
        <v>-19.3125</v>
      </c>
      <c r="D23" s="2">
        <v>1769403909.1921101</v>
      </c>
      <c r="E23" s="2">
        <f t="shared" si="0"/>
        <v>142.03310012817383</v>
      </c>
      <c r="F23" s="2">
        <f>E23</f>
        <v>142.03310012817383</v>
      </c>
      <c r="G23" s="2">
        <f t="shared" si="1"/>
        <v>100.13227009773254</v>
      </c>
      <c r="H23" s="2">
        <f t="shared" si="2"/>
        <v>129.97491002082825</v>
      </c>
      <c r="I23" s="2">
        <f t="shared" si="5"/>
        <v>137.69935011863708</v>
      </c>
      <c r="K23" s="2">
        <f t="shared" si="4"/>
        <v>125.22509002685547</v>
      </c>
      <c r="L23" s="2">
        <f>F23-F22</f>
        <v>24.137020111083984</v>
      </c>
    </row>
    <row r="24" spans="2:17" x14ac:dyDescent="0.25">
      <c r="B24" t="s">
        <v>0</v>
      </c>
      <c r="C24">
        <v>472</v>
      </c>
      <c r="D24" s="2">
        <v>1769403917.4519801</v>
      </c>
      <c r="E24" s="2">
        <f t="shared" si="0"/>
        <v>150.29297018051147</v>
      </c>
      <c r="F24" s="2">
        <f t="shared" si="3"/>
        <v>142.03310012817383</v>
      </c>
      <c r="G24" s="2">
        <f>E24</f>
        <v>150.29297018051147</v>
      </c>
      <c r="H24" s="2">
        <f t="shared" si="2"/>
        <v>129.97491002082825</v>
      </c>
      <c r="I24" s="2">
        <f t="shared" si="5"/>
        <v>137.69935011863708</v>
      </c>
      <c r="K24" s="2">
        <f t="shared" si="4"/>
        <v>125.22509002685547</v>
      </c>
      <c r="M24" s="2">
        <f>G24-G23</f>
        <v>50.160700082778931</v>
      </c>
    </row>
    <row r="25" spans="2:17" x14ac:dyDescent="0.25">
      <c r="B25" t="s">
        <v>1</v>
      </c>
      <c r="C25">
        <v>-19.3125</v>
      </c>
      <c r="D25" s="2">
        <v>1769403921.2719901</v>
      </c>
      <c r="E25" s="2">
        <f t="shared" si="0"/>
        <v>154.11298012733459</v>
      </c>
      <c r="F25" s="2">
        <f t="shared" si="3"/>
        <v>142.03310012817383</v>
      </c>
      <c r="G25" s="2">
        <f t="shared" si="1"/>
        <v>150.29297018051147</v>
      </c>
      <c r="H25" s="2">
        <f>E25</f>
        <v>154.11298012733459</v>
      </c>
      <c r="I25" s="2">
        <f t="shared" si="5"/>
        <v>137.69935011863708</v>
      </c>
      <c r="K25" s="2">
        <f t="shared" si="4"/>
        <v>125.22509002685547</v>
      </c>
      <c r="N25" s="2">
        <f>H25-H24</f>
        <v>24.138070106506348</v>
      </c>
    </row>
    <row r="26" spans="2:17" x14ac:dyDescent="0.25">
      <c r="B26" t="s">
        <v>2</v>
      </c>
      <c r="C26">
        <v>-19.25</v>
      </c>
      <c r="D26" s="2">
        <v>1769403933.4170799</v>
      </c>
      <c r="E26" s="2">
        <f t="shared" si="0"/>
        <v>166.25806999206543</v>
      </c>
      <c r="F26" s="2">
        <f>E26</f>
        <v>166.25806999206543</v>
      </c>
      <c r="G26" s="2">
        <f t="shared" si="1"/>
        <v>150.29297018051147</v>
      </c>
      <c r="H26" s="2">
        <f t="shared" si="2"/>
        <v>154.11298012733459</v>
      </c>
      <c r="I26" s="2">
        <f t="shared" si="5"/>
        <v>137.69935011863708</v>
      </c>
      <c r="K26" s="2">
        <f t="shared" si="4"/>
        <v>125.22509002685547</v>
      </c>
      <c r="L26" s="2">
        <f>F26-F25</f>
        <v>24.224969863891602</v>
      </c>
    </row>
    <row r="27" spans="2:17" x14ac:dyDescent="0.25">
      <c r="B27" t="s">
        <v>3</v>
      </c>
      <c r="C27">
        <v>24.6875</v>
      </c>
      <c r="D27" s="2">
        <v>1769403942.4175301</v>
      </c>
      <c r="E27" s="2">
        <f t="shared" si="0"/>
        <v>175.25852012634277</v>
      </c>
      <c r="F27" s="2">
        <f t="shared" si="3"/>
        <v>166.25806999206543</v>
      </c>
      <c r="G27" s="2">
        <f t="shared" si="1"/>
        <v>150.29297018051147</v>
      </c>
      <c r="H27" s="2">
        <f t="shared" si="2"/>
        <v>154.11298012733459</v>
      </c>
      <c r="I27" s="2">
        <f t="shared" si="5"/>
        <v>137.69935011863708</v>
      </c>
      <c r="K27" s="2">
        <f>E27</f>
        <v>175.25852012634277</v>
      </c>
      <c r="Q27" s="2">
        <f>K27-K26</f>
        <v>50.033430099487305</v>
      </c>
    </row>
    <row r="28" spans="2:17" x14ac:dyDescent="0.25">
      <c r="B28" t="s">
        <v>1</v>
      </c>
      <c r="C28">
        <v>-19.3125</v>
      </c>
      <c r="D28" s="2">
        <v>1769403945.41611</v>
      </c>
      <c r="E28" s="2">
        <f t="shared" si="0"/>
        <v>178.25710010528564</v>
      </c>
      <c r="F28" s="2">
        <f t="shared" si="3"/>
        <v>166.25806999206543</v>
      </c>
      <c r="G28" s="2">
        <f t="shared" si="1"/>
        <v>150.29297018051147</v>
      </c>
      <c r="H28" s="2">
        <f>E28</f>
        <v>178.25710010528564</v>
      </c>
      <c r="I28" s="2">
        <f t="shared" si="5"/>
        <v>137.69935011863708</v>
      </c>
      <c r="K28" s="2">
        <f t="shared" si="4"/>
        <v>175.25852012634277</v>
      </c>
      <c r="N28" s="2">
        <f>H28-H27</f>
        <v>24.14411997795105</v>
      </c>
    </row>
    <row r="29" spans="2:17" x14ac:dyDescent="0.25">
      <c r="B29" t="s">
        <v>4</v>
      </c>
      <c r="C29" s="1" t="s">
        <v>9</v>
      </c>
      <c r="D29" s="2">
        <v>1769403955.02022</v>
      </c>
      <c r="E29" s="2">
        <f t="shared" si="0"/>
        <v>187.86121010780334</v>
      </c>
      <c r="F29" s="2">
        <f t="shared" si="3"/>
        <v>166.25806999206543</v>
      </c>
      <c r="G29" s="2">
        <f t="shared" si="1"/>
        <v>150.29297018051147</v>
      </c>
      <c r="H29" s="2">
        <f t="shared" si="2"/>
        <v>178.25710010528564</v>
      </c>
      <c r="I29" s="2">
        <f>E29</f>
        <v>187.86121010780334</v>
      </c>
      <c r="K29" s="2">
        <f t="shared" si="4"/>
        <v>175.25852012634277</v>
      </c>
      <c r="O29" s="2">
        <f>I29-I28</f>
        <v>50.16185998916626</v>
      </c>
    </row>
    <row r="30" spans="2:17" x14ac:dyDescent="0.25">
      <c r="B30" t="s">
        <v>2</v>
      </c>
      <c r="C30">
        <v>-19.3125</v>
      </c>
      <c r="D30" s="2">
        <v>1769403957.5855501</v>
      </c>
      <c r="E30" s="2">
        <f t="shared" si="0"/>
        <v>190.42654013633728</v>
      </c>
      <c r="F30" s="2">
        <f>E30</f>
        <v>190.42654013633728</v>
      </c>
      <c r="G30" s="2">
        <f t="shared" si="1"/>
        <v>150.29297018051147</v>
      </c>
      <c r="H30" s="2">
        <f t="shared" si="2"/>
        <v>178.25710010528564</v>
      </c>
      <c r="I30" s="2">
        <f t="shared" si="5"/>
        <v>187.86121010780334</v>
      </c>
      <c r="K30" s="2">
        <f t="shared" si="4"/>
        <v>175.25852012634277</v>
      </c>
      <c r="L30" s="2">
        <f>F30-F29</f>
        <v>24.168470144271851</v>
      </c>
    </row>
    <row r="31" spans="2:17" x14ac:dyDescent="0.25">
      <c r="B31" t="s">
        <v>1</v>
      </c>
      <c r="C31">
        <v>-19.3125</v>
      </c>
      <c r="D31" s="2">
        <v>1769403969.64362</v>
      </c>
      <c r="E31" s="2">
        <f t="shared" si="0"/>
        <v>202.48461008071899</v>
      </c>
      <c r="F31" s="2">
        <f t="shared" si="3"/>
        <v>190.42654013633728</v>
      </c>
      <c r="G31" s="2">
        <f t="shared" si="1"/>
        <v>150.29297018051147</v>
      </c>
      <c r="H31" s="2">
        <f>E31</f>
        <v>202.48461008071899</v>
      </c>
      <c r="I31" s="2">
        <f t="shared" si="5"/>
        <v>187.86121010780334</v>
      </c>
      <c r="K31" s="2">
        <f t="shared" si="4"/>
        <v>175.25852012634277</v>
      </c>
      <c r="N31" s="2">
        <f>H31-H30</f>
        <v>24.22750997543335</v>
      </c>
    </row>
    <row r="32" spans="2:17" x14ac:dyDescent="0.25">
      <c r="B32" t="s">
        <v>2</v>
      </c>
      <c r="C32">
        <v>-19.3125</v>
      </c>
      <c r="D32" s="2">
        <v>1769403981.71662</v>
      </c>
      <c r="E32" s="2">
        <f t="shared" si="0"/>
        <v>214.55761003494263</v>
      </c>
      <c r="F32" s="2">
        <f>E32</f>
        <v>214.55761003494263</v>
      </c>
      <c r="G32" s="2">
        <f t="shared" si="1"/>
        <v>150.29297018051147</v>
      </c>
      <c r="H32" s="2">
        <f t="shared" si="2"/>
        <v>202.48461008071899</v>
      </c>
      <c r="I32" s="2">
        <f t="shared" si="5"/>
        <v>187.86121010780334</v>
      </c>
      <c r="K32" s="2">
        <f t="shared" si="4"/>
        <v>175.25852012634277</v>
      </c>
      <c r="L32" s="2">
        <f>F32-F31</f>
        <v>24.131069898605347</v>
      </c>
    </row>
    <row r="33" spans="2:17" x14ac:dyDescent="0.25">
      <c r="B33" t="s">
        <v>3</v>
      </c>
      <c r="C33">
        <v>24.625</v>
      </c>
      <c r="D33" s="2">
        <v>1769403992.48439</v>
      </c>
      <c r="E33" s="2">
        <f t="shared" si="0"/>
        <v>225.3253800868988</v>
      </c>
      <c r="F33" s="2">
        <f t="shared" si="3"/>
        <v>214.55761003494263</v>
      </c>
      <c r="G33" s="2">
        <f t="shared" si="1"/>
        <v>150.29297018051147</v>
      </c>
      <c r="H33" s="2">
        <f t="shared" si="2"/>
        <v>202.48461008071899</v>
      </c>
      <c r="I33" s="2">
        <f t="shared" si="5"/>
        <v>187.86121010780334</v>
      </c>
      <c r="K33" s="2">
        <f>E33</f>
        <v>225.3253800868988</v>
      </c>
      <c r="Q33" s="2">
        <f>K33-K32</f>
        <v>50.06685996055603</v>
      </c>
    </row>
    <row r="34" spans="2:17" x14ac:dyDescent="0.25">
      <c r="B34" t="s">
        <v>1</v>
      </c>
      <c r="C34">
        <v>-19.25</v>
      </c>
      <c r="D34" s="2">
        <v>1769403993.7500501</v>
      </c>
      <c r="E34" s="2">
        <f t="shared" si="0"/>
        <v>226.59104013442993</v>
      </c>
      <c r="F34" s="2">
        <f t="shared" si="3"/>
        <v>214.55761003494263</v>
      </c>
      <c r="G34" s="2">
        <f t="shared" si="1"/>
        <v>150.29297018051147</v>
      </c>
      <c r="H34" s="2">
        <f>E34</f>
        <v>226.59104013442993</v>
      </c>
      <c r="I34" s="2">
        <f t="shared" si="5"/>
        <v>187.86121010780334</v>
      </c>
      <c r="K34" s="2">
        <f t="shared" si="4"/>
        <v>225.3253800868988</v>
      </c>
      <c r="N34" s="2">
        <f>H34-H33</f>
        <v>24.106430053710938</v>
      </c>
    </row>
    <row r="35" spans="2:17" x14ac:dyDescent="0.25">
      <c r="B35" t="s">
        <v>4</v>
      </c>
      <c r="C35">
        <v>30.4375</v>
      </c>
      <c r="D35" s="2">
        <v>1769404005.00999</v>
      </c>
      <c r="E35" s="2">
        <f t="shared" si="0"/>
        <v>237.85098004341125</v>
      </c>
      <c r="F35" s="2">
        <f t="shared" si="3"/>
        <v>214.55761003494263</v>
      </c>
      <c r="G35" s="2">
        <f t="shared" si="1"/>
        <v>150.29297018051147</v>
      </c>
      <c r="H35" s="2">
        <f t="shared" si="2"/>
        <v>226.59104013442993</v>
      </c>
      <c r="I35" s="2">
        <f>E35</f>
        <v>237.85098004341125</v>
      </c>
      <c r="K35" s="2">
        <f t="shared" si="4"/>
        <v>225.3253800868988</v>
      </c>
      <c r="O35" s="2">
        <f>I35-I34</f>
        <v>49.98976993560791</v>
      </c>
    </row>
    <row r="36" spans="2:17" x14ac:dyDescent="0.25">
      <c r="B36" s="3" t="s">
        <v>5</v>
      </c>
      <c r="C36">
        <v>-19.25</v>
      </c>
      <c r="D36" s="2">
        <v>1769404005.7791901</v>
      </c>
      <c r="E36" s="2">
        <f t="shared" si="0"/>
        <v>238.62018013000488</v>
      </c>
      <c r="F36" s="2">
        <f t="shared" si="3"/>
        <v>214.55761003494263</v>
      </c>
      <c r="G36" s="2">
        <f t="shared" si="1"/>
        <v>150.29297018051147</v>
      </c>
      <c r="H36" s="2">
        <f t="shared" si="2"/>
        <v>226.59104013442993</v>
      </c>
      <c r="I36" s="2">
        <f t="shared" si="5"/>
        <v>237.85098004341125</v>
      </c>
      <c r="J36" s="2">
        <f>E36</f>
        <v>238.62018013000488</v>
      </c>
      <c r="K36" s="2">
        <f t="shared" si="4"/>
        <v>225.3253800868988</v>
      </c>
      <c r="P36">
        <v>100</v>
      </c>
    </row>
    <row r="37" spans="2:17" x14ac:dyDescent="0.25">
      <c r="B37" t="s">
        <v>0</v>
      </c>
      <c r="C37">
        <v>471</v>
      </c>
      <c r="D37" s="2">
        <v>1769404017.5318501</v>
      </c>
      <c r="E37" s="2">
        <f t="shared" si="0"/>
        <v>250.37284016609192</v>
      </c>
      <c r="F37" s="2">
        <f t="shared" si="3"/>
        <v>214.55761003494263</v>
      </c>
      <c r="G37" s="2">
        <f>E37</f>
        <v>250.37284016609192</v>
      </c>
      <c r="H37" s="2">
        <f t="shared" si="2"/>
        <v>226.59104013442993</v>
      </c>
      <c r="I37" s="2">
        <f t="shared" si="5"/>
        <v>237.85098004341125</v>
      </c>
      <c r="J37" s="2">
        <f>J36</f>
        <v>238.62018013000488</v>
      </c>
      <c r="K37" s="2">
        <f t="shared" si="4"/>
        <v>225.3253800868988</v>
      </c>
      <c r="M37" s="2">
        <f>G37-G36</f>
        <v>100.07986998558044</v>
      </c>
    </row>
    <row r="38" spans="2:17" x14ac:dyDescent="0.25">
      <c r="B38" t="s">
        <v>1</v>
      </c>
      <c r="C38">
        <v>-19.3125</v>
      </c>
      <c r="D38" s="2">
        <v>1769404017.8642001</v>
      </c>
      <c r="E38" s="2">
        <f t="shared" si="0"/>
        <v>250.70519018173218</v>
      </c>
      <c r="F38" s="2">
        <f t="shared" si="3"/>
        <v>214.55761003494263</v>
      </c>
      <c r="G38" s="2">
        <f t="shared" si="1"/>
        <v>250.37284016609192</v>
      </c>
      <c r="H38" s="2">
        <f>E38</f>
        <v>250.70519018173218</v>
      </c>
      <c r="I38" s="2">
        <f t="shared" si="5"/>
        <v>237.85098004341125</v>
      </c>
      <c r="J38" s="2">
        <f t="shared" ref="J38:J96" si="6">J37</f>
        <v>238.62018013000488</v>
      </c>
      <c r="K38" s="2">
        <f t="shared" si="4"/>
        <v>225.3253800868988</v>
      </c>
      <c r="N38" s="2">
        <f>H38-H37</f>
        <v>24.114150047302246</v>
      </c>
    </row>
    <row r="39" spans="2:17" x14ac:dyDescent="0.25">
      <c r="B39" t="s">
        <v>2</v>
      </c>
      <c r="C39">
        <v>-19.25</v>
      </c>
      <c r="D39" s="2">
        <v>1769404029.93153</v>
      </c>
      <c r="E39" s="2">
        <f t="shared" si="0"/>
        <v>262.77252006530762</v>
      </c>
      <c r="F39" s="2">
        <f>E39</f>
        <v>262.77252006530762</v>
      </c>
      <c r="G39" s="2">
        <f t="shared" si="1"/>
        <v>250.37284016609192</v>
      </c>
      <c r="H39" s="2">
        <f t="shared" si="2"/>
        <v>250.70519018173218</v>
      </c>
      <c r="I39" s="2">
        <f t="shared" si="5"/>
        <v>237.85098004341125</v>
      </c>
      <c r="J39" s="2">
        <f t="shared" si="6"/>
        <v>238.62018013000488</v>
      </c>
      <c r="K39" s="2">
        <f t="shared" si="4"/>
        <v>225.3253800868988</v>
      </c>
      <c r="L39" s="2">
        <f>F39-F38</f>
        <v>48.21491003036499</v>
      </c>
    </row>
    <row r="40" spans="2:17" x14ac:dyDescent="0.25">
      <c r="B40" t="s">
        <v>1</v>
      </c>
      <c r="C40">
        <v>-19.25</v>
      </c>
      <c r="D40" s="2">
        <v>1769404042.0130501</v>
      </c>
      <c r="E40" s="2">
        <f t="shared" si="0"/>
        <v>274.85404014587402</v>
      </c>
      <c r="F40" s="2">
        <f t="shared" si="3"/>
        <v>262.77252006530762</v>
      </c>
      <c r="G40" s="2">
        <f t="shared" si="1"/>
        <v>250.37284016609192</v>
      </c>
      <c r="H40" s="2">
        <f>E40</f>
        <v>274.85404014587402</v>
      </c>
      <c r="I40" s="2">
        <f t="shared" si="5"/>
        <v>237.85098004341125</v>
      </c>
      <c r="J40" s="2">
        <f t="shared" si="6"/>
        <v>238.62018013000488</v>
      </c>
      <c r="K40" s="2">
        <f t="shared" si="4"/>
        <v>225.3253800868988</v>
      </c>
      <c r="N40" s="2">
        <f>H40-H39</f>
        <v>24.148849964141846</v>
      </c>
    </row>
    <row r="41" spans="2:17" x14ac:dyDescent="0.25">
      <c r="B41" t="s">
        <v>3</v>
      </c>
      <c r="C41">
        <v>24.625</v>
      </c>
      <c r="D41" s="2">
        <v>1769404042.6508801</v>
      </c>
      <c r="E41" s="2">
        <f t="shared" si="0"/>
        <v>275.49187016487122</v>
      </c>
      <c r="F41" s="2">
        <f t="shared" si="3"/>
        <v>262.77252006530762</v>
      </c>
      <c r="G41" s="2">
        <f t="shared" si="1"/>
        <v>250.37284016609192</v>
      </c>
      <c r="H41" s="2">
        <f t="shared" si="2"/>
        <v>274.85404014587402</v>
      </c>
      <c r="I41" s="2">
        <f t="shared" si="5"/>
        <v>237.85098004341125</v>
      </c>
      <c r="J41" s="2">
        <f t="shared" si="6"/>
        <v>238.62018013000488</v>
      </c>
      <c r="K41" s="2">
        <f>E41</f>
        <v>275.49187016487122</v>
      </c>
      <c r="Q41" s="2">
        <f>K41-K40</f>
        <v>50.166490077972412</v>
      </c>
    </row>
    <row r="42" spans="2:17" x14ac:dyDescent="0.25">
      <c r="B42" t="s">
        <v>2</v>
      </c>
      <c r="C42">
        <v>-19.25</v>
      </c>
      <c r="D42" s="2">
        <v>1769404054.08376</v>
      </c>
      <c r="E42" s="2">
        <f t="shared" si="0"/>
        <v>286.92475008964539</v>
      </c>
      <c r="F42" s="2">
        <f>E42</f>
        <v>286.92475008964539</v>
      </c>
      <c r="G42" s="2">
        <f t="shared" si="1"/>
        <v>250.37284016609192</v>
      </c>
      <c r="H42" s="2">
        <f t="shared" si="2"/>
        <v>274.85404014587402</v>
      </c>
      <c r="I42" s="2">
        <f t="shared" si="5"/>
        <v>237.85098004341125</v>
      </c>
      <c r="J42" s="2">
        <f t="shared" si="6"/>
        <v>238.62018013000488</v>
      </c>
      <c r="K42" s="2">
        <f t="shared" si="4"/>
        <v>275.49187016487122</v>
      </c>
      <c r="L42" s="2">
        <f>F42-F41</f>
        <v>24.152230024337769</v>
      </c>
    </row>
    <row r="43" spans="2:17" x14ac:dyDescent="0.25">
      <c r="B43" t="s">
        <v>4</v>
      </c>
      <c r="C43">
        <v>30.6875</v>
      </c>
      <c r="D43" s="2">
        <v>1769404055.0794101</v>
      </c>
      <c r="E43" s="2">
        <f t="shared" si="0"/>
        <v>287.92040014266968</v>
      </c>
      <c r="F43" s="2">
        <f t="shared" si="3"/>
        <v>286.92475008964539</v>
      </c>
      <c r="G43" s="2">
        <f t="shared" si="1"/>
        <v>250.37284016609192</v>
      </c>
      <c r="H43" s="2">
        <f t="shared" si="2"/>
        <v>274.85404014587402</v>
      </c>
      <c r="I43" s="2">
        <f>E43</f>
        <v>287.92040014266968</v>
      </c>
      <c r="J43" s="2">
        <f t="shared" si="6"/>
        <v>238.62018013000488</v>
      </c>
      <c r="K43" s="2">
        <f t="shared" si="4"/>
        <v>275.49187016487122</v>
      </c>
      <c r="O43" s="2">
        <f>I43-I42</f>
        <v>50.069420099258423</v>
      </c>
    </row>
    <row r="44" spans="2:17" x14ac:dyDescent="0.25">
      <c r="B44" t="s">
        <v>1</v>
      </c>
      <c r="C44">
        <v>-19.25</v>
      </c>
      <c r="D44" s="2">
        <v>1769404066.1674099</v>
      </c>
      <c r="E44" s="2">
        <f t="shared" si="0"/>
        <v>299.00839996337891</v>
      </c>
      <c r="F44" s="2">
        <f t="shared" si="3"/>
        <v>286.92475008964539</v>
      </c>
      <c r="G44" s="2">
        <f t="shared" si="1"/>
        <v>250.37284016609192</v>
      </c>
      <c r="H44" s="2">
        <f>E44</f>
        <v>299.00839996337891</v>
      </c>
      <c r="I44" s="2">
        <f t="shared" si="5"/>
        <v>287.92040014266968</v>
      </c>
      <c r="J44" s="2">
        <f t="shared" si="6"/>
        <v>238.62018013000488</v>
      </c>
      <c r="K44" s="2">
        <f t="shared" si="4"/>
        <v>275.49187016487122</v>
      </c>
      <c r="N44" s="2">
        <f>H44-H43</f>
        <v>24.154359817504883</v>
      </c>
    </row>
    <row r="45" spans="2:17" x14ac:dyDescent="0.25">
      <c r="B45" t="s">
        <v>0</v>
      </c>
      <c r="C45">
        <v>470</v>
      </c>
      <c r="D45" s="2">
        <v>1769404067.59426</v>
      </c>
      <c r="E45" s="2">
        <f t="shared" si="0"/>
        <v>300.43525004386902</v>
      </c>
      <c r="F45" s="2">
        <f t="shared" si="3"/>
        <v>286.92475008964539</v>
      </c>
      <c r="G45" s="2">
        <f>E45</f>
        <v>300.43525004386902</v>
      </c>
      <c r="H45" s="2">
        <f t="shared" si="2"/>
        <v>299.00839996337891</v>
      </c>
      <c r="I45" s="2">
        <f t="shared" si="5"/>
        <v>287.92040014266968</v>
      </c>
      <c r="J45" s="2">
        <f t="shared" si="6"/>
        <v>238.62018013000488</v>
      </c>
      <c r="K45" s="2">
        <f t="shared" si="4"/>
        <v>275.49187016487122</v>
      </c>
      <c r="M45" s="2">
        <f>G45-G44</f>
        <v>50.0624098777771</v>
      </c>
    </row>
    <row r="46" spans="2:17" x14ac:dyDescent="0.25">
      <c r="B46" t="s">
        <v>2</v>
      </c>
      <c r="C46">
        <v>-19.25</v>
      </c>
      <c r="D46" s="2">
        <v>1769404078.2237799</v>
      </c>
      <c r="E46" s="2">
        <f t="shared" si="0"/>
        <v>311.06476998329163</v>
      </c>
      <c r="F46" s="2">
        <f>E46</f>
        <v>311.06476998329163</v>
      </c>
      <c r="G46" s="2">
        <f t="shared" si="1"/>
        <v>300.43525004386902</v>
      </c>
      <c r="H46" s="2">
        <f t="shared" si="2"/>
        <v>299.00839996337891</v>
      </c>
      <c r="I46" s="2">
        <f t="shared" si="5"/>
        <v>287.92040014266968</v>
      </c>
      <c r="J46" s="2">
        <f t="shared" si="6"/>
        <v>238.62018013000488</v>
      </c>
      <c r="K46" s="2">
        <f t="shared" si="4"/>
        <v>275.49187016487122</v>
      </c>
      <c r="L46" s="2">
        <f>F46-F45</f>
        <v>24.14001989364624</v>
      </c>
    </row>
    <row r="47" spans="2:17" x14ac:dyDescent="0.25">
      <c r="B47" t="s">
        <v>1</v>
      </c>
      <c r="C47">
        <v>-19.25</v>
      </c>
      <c r="D47" s="2">
        <v>1769404090.31566</v>
      </c>
      <c r="E47" s="2">
        <f t="shared" si="0"/>
        <v>323.15665006637573</v>
      </c>
      <c r="F47" s="2">
        <f t="shared" si="3"/>
        <v>311.06476998329163</v>
      </c>
      <c r="G47" s="2">
        <f t="shared" si="1"/>
        <v>300.43525004386902</v>
      </c>
      <c r="H47" s="2">
        <f>E47</f>
        <v>323.15665006637573</v>
      </c>
      <c r="I47" s="2">
        <f t="shared" si="5"/>
        <v>287.92040014266968</v>
      </c>
      <c r="J47" s="2">
        <f t="shared" si="6"/>
        <v>238.62018013000488</v>
      </c>
      <c r="K47" s="2">
        <f t="shared" si="4"/>
        <v>275.49187016487122</v>
      </c>
      <c r="N47" s="2">
        <f>H47-H46</f>
        <v>24.148250102996826</v>
      </c>
    </row>
    <row r="48" spans="2:17" x14ac:dyDescent="0.25">
      <c r="B48" t="s">
        <v>3</v>
      </c>
      <c r="C48">
        <v>24.625</v>
      </c>
      <c r="D48" s="2">
        <v>1769404092.64446</v>
      </c>
      <c r="E48" s="2">
        <f t="shared" si="0"/>
        <v>325.48545002937317</v>
      </c>
      <c r="F48" s="2">
        <f t="shared" si="3"/>
        <v>311.06476998329163</v>
      </c>
      <c r="G48" s="2">
        <f t="shared" si="1"/>
        <v>300.43525004386902</v>
      </c>
      <c r="H48" s="2">
        <f t="shared" si="2"/>
        <v>323.15665006637573</v>
      </c>
      <c r="I48" s="2">
        <f t="shared" si="5"/>
        <v>287.92040014266968</v>
      </c>
      <c r="J48" s="2">
        <f t="shared" si="6"/>
        <v>238.62018013000488</v>
      </c>
      <c r="K48" s="2">
        <f>E48</f>
        <v>325.48545002937317</v>
      </c>
      <c r="Q48" s="2">
        <f>K48-K47</f>
        <v>49.993579864501953</v>
      </c>
    </row>
    <row r="49" spans="2:17" x14ac:dyDescent="0.25">
      <c r="B49" t="s">
        <v>2</v>
      </c>
      <c r="C49">
        <v>-19.25</v>
      </c>
      <c r="D49" s="2">
        <v>1769404102.4377501</v>
      </c>
      <c r="E49" s="2">
        <f t="shared" si="0"/>
        <v>335.2787401676178</v>
      </c>
      <c r="F49" s="2">
        <f>E49</f>
        <v>335.2787401676178</v>
      </c>
      <c r="G49" s="2">
        <f t="shared" si="1"/>
        <v>300.43525004386902</v>
      </c>
      <c r="H49" s="2">
        <f t="shared" si="2"/>
        <v>323.15665006637573</v>
      </c>
      <c r="I49" s="2">
        <f t="shared" si="5"/>
        <v>287.92040014266968</v>
      </c>
      <c r="J49" s="2">
        <f t="shared" si="6"/>
        <v>238.62018013000488</v>
      </c>
      <c r="K49" s="2">
        <f t="shared" si="4"/>
        <v>325.48545002937317</v>
      </c>
      <c r="L49" s="2">
        <f>F49-F48</f>
        <v>24.213970184326172</v>
      </c>
    </row>
    <row r="50" spans="2:17" x14ac:dyDescent="0.25">
      <c r="B50" t="s">
        <v>4</v>
      </c>
      <c r="C50">
        <v>30.8125</v>
      </c>
      <c r="D50" s="2">
        <v>1769404105.1582999</v>
      </c>
      <c r="E50" s="2">
        <f t="shared" si="0"/>
        <v>337.99928998947144</v>
      </c>
      <c r="F50" s="2">
        <f t="shared" si="3"/>
        <v>335.2787401676178</v>
      </c>
      <c r="G50" s="2">
        <f t="shared" si="1"/>
        <v>300.43525004386902</v>
      </c>
      <c r="H50" s="2">
        <f t="shared" si="2"/>
        <v>323.15665006637573</v>
      </c>
      <c r="I50" s="2">
        <f>E50</f>
        <v>337.99928998947144</v>
      </c>
      <c r="J50" s="2">
        <f t="shared" si="6"/>
        <v>238.62018013000488</v>
      </c>
      <c r="K50" s="2">
        <f t="shared" si="4"/>
        <v>325.48545002937317</v>
      </c>
      <c r="O50" s="2">
        <f>I50-I49</f>
        <v>50.078889846801758</v>
      </c>
    </row>
    <row r="51" spans="2:17" x14ac:dyDescent="0.25">
      <c r="B51" t="s">
        <v>1</v>
      </c>
      <c r="C51">
        <v>-19.25</v>
      </c>
      <c r="D51" s="2">
        <v>1769404114.4597299</v>
      </c>
      <c r="E51" s="2">
        <f t="shared" si="0"/>
        <v>347.30071997642517</v>
      </c>
      <c r="F51" s="2">
        <f t="shared" si="3"/>
        <v>335.2787401676178</v>
      </c>
      <c r="G51" s="2">
        <f t="shared" si="1"/>
        <v>300.43525004386902</v>
      </c>
      <c r="H51" s="2">
        <f>E51</f>
        <v>347.30071997642517</v>
      </c>
      <c r="I51" s="2">
        <f t="shared" si="5"/>
        <v>337.99928998947144</v>
      </c>
      <c r="J51" s="2">
        <f t="shared" si="6"/>
        <v>238.62018013000488</v>
      </c>
      <c r="K51" s="2">
        <f t="shared" si="4"/>
        <v>325.48545002937317</v>
      </c>
      <c r="N51" s="2">
        <f>H51-H50</f>
        <v>24.144069910049438</v>
      </c>
    </row>
    <row r="52" spans="2:17" x14ac:dyDescent="0.25">
      <c r="B52" t="s">
        <v>0</v>
      </c>
      <c r="C52">
        <v>468</v>
      </c>
      <c r="D52" s="2">
        <v>1769404117.6760499</v>
      </c>
      <c r="E52" s="2">
        <f t="shared" si="0"/>
        <v>350.51704001426697</v>
      </c>
      <c r="F52" s="2">
        <f t="shared" si="3"/>
        <v>335.2787401676178</v>
      </c>
      <c r="G52" s="2">
        <f>E52</f>
        <v>350.51704001426697</v>
      </c>
      <c r="H52" s="2">
        <f t="shared" si="2"/>
        <v>347.30071997642517</v>
      </c>
      <c r="I52" s="2">
        <f t="shared" si="5"/>
        <v>337.99928998947144</v>
      </c>
      <c r="J52" s="2">
        <f t="shared" si="6"/>
        <v>238.62018013000488</v>
      </c>
      <c r="K52" s="2">
        <f t="shared" si="4"/>
        <v>325.48545002937317</v>
      </c>
      <c r="M52" s="2">
        <f>G52-G51</f>
        <v>50.081789970397949</v>
      </c>
    </row>
    <row r="53" spans="2:17" x14ac:dyDescent="0.25">
      <c r="B53" t="s">
        <v>2</v>
      </c>
      <c r="C53">
        <v>-19.25</v>
      </c>
      <c r="D53" s="2">
        <v>1769404126.5592401</v>
      </c>
      <c r="E53" s="2">
        <f t="shared" si="0"/>
        <v>359.40023016929626</v>
      </c>
      <c r="F53" s="2">
        <f>E53</f>
        <v>359.40023016929626</v>
      </c>
      <c r="G53" s="2">
        <f t="shared" si="1"/>
        <v>350.51704001426697</v>
      </c>
      <c r="H53" s="2">
        <f t="shared" si="2"/>
        <v>347.30071997642517</v>
      </c>
      <c r="I53" s="2">
        <f t="shared" si="5"/>
        <v>337.99928998947144</v>
      </c>
      <c r="J53" s="2">
        <f t="shared" si="6"/>
        <v>238.62018013000488</v>
      </c>
      <c r="K53" s="2">
        <f t="shared" si="4"/>
        <v>325.48545002937317</v>
      </c>
      <c r="L53" s="2">
        <f>F53-F52</f>
        <v>24.121490001678467</v>
      </c>
    </row>
    <row r="54" spans="2:17" x14ac:dyDescent="0.25">
      <c r="B54" t="s">
        <v>1</v>
      </c>
      <c r="C54">
        <v>-19.3125</v>
      </c>
      <c r="D54" s="2">
        <v>1769404138.6571801</v>
      </c>
      <c r="E54" s="2">
        <f t="shared" si="0"/>
        <v>371.4981701374054</v>
      </c>
      <c r="F54" s="2">
        <f t="shared" si="3"/>
        <v>359.40023016929626</v>
      </c>
      <c r="G54" s="2">
        <f t="shared" si="1"/>
        <v>350.51704001426697</v>
      </c>
      <c r="H54" s="2">
        <f>E54</f>
        <v>371.4981701374054</v>
      </c>
      <c r="I54" s="2">
        <f t="shared" si="5"/>
        <v>337.99928998947144</v>
      </c>
      <c r="J54" s="2">
        <f t="shared" si="6"/>
        <v>238.62018013000488</v>
      </c>
      <c r="K54" s="2">
        <f t="shared" si="4"/>
        <v>325.48545002937317</v>
      </c>
      <c r="N54" s="2">
        <f>H54-H53</f>
        <v>24.197450160980225</v>
      </c>
    </row>
    <row r="55" spans="2:17" x14ac:dyDescent="0.25">
      <c r="B55" t="s">
        <v>3</v>
      </c>
      <c r="C55">
        <v>24.625</v>
      </c>
      <c r="D55" s="2">
        <v>1769404142.7913899</v>
      </c>
      <c r="E55" s="2">
        <f t="shared" si="0"/>
        <v>375.63238000869751</v>
      </c>
      <c r="F55" s="2">
        <f t="shared" si="3"/>
        <v>359.40023016929626</v>
      </c>
      <c r="G55" s="2">
        <f t="shared" si="1"/>
        <v>350.51704001426697</v>
      </c>
      <c r="H55" s="2">
        <f t="shared" si="2"/>
        <v>371.4981701374054</v>
      </c>
      <c r="I55" s="2">
        <f t="shared" si="5"/>
        <v>337.99928998947144</v>
      </c>
      <c r="J55" s="2">
        <f t="shared" si="6"/>
        <v>238.62018013000488</v>
      </c>
      <c r="K55" s="2">
        <f>E55</f>
        <v>375.63238000869751</v>
      </c>
      <c r="Q55" s="2">
        <f>K55-K54</f>
        <v>50.146929979324341</v>
      </c>
    </row>
    <row r="56" spans="2:17" x14ac:dyDescent="0.25">
      <c r="B56" t="s">
        <v>2</v>
      </c>
      <c r="C56">
        <v>-19.25</v>
      </c>
      <c r="D56" s="2">
        <v>1769404150.75738</v>
      </c>
      <c r="E56" s="2">
        <f t="shared" si="0"/>
        <v>383.59837007522583</v>
      </c>
      <c r="F56" s="2">
        <f>E56</f>
        <v>383.59837007522583</v>
      </c>
      <c r="G56" s="2">
        <f t="shared" si="1"/>
        <v>350.51704001426697</v>
      </c>
      <c r="H56" s="2">
        <f t="shared" si="2"/>
        <v>371.4981701374054</v>
      </c>
      <c r="I56" s="2">
        <f t="shared" si="5"/>
        <v>337.99928998947144</v>
      </c>
      <c r="J56" s="2">
        <f t="shared" si="6"/>
        <v>238.62018013000488</v>
      </c>
      <c r="K56" s="2">
        <f t="shared" si="4"/>
        <v>375.63238000869751</v>
      </c>
      <c r="L56" s="2">
        <f>F56-F55</f>
        <v>24.198139905929565</v>
      </c>
    </row>
    <row r="57" spans="2:17" x14ac:dyDescent="0.25">
      <c r="B57" t="s">
        <v>4</v>
      </c>
      <c r="C57">
        <v>30.875</v>
      </c>
      <c r="D57" s="2">
        <v>1769404155.2297101</v>
      </c>
      <c r="E57" s="2">
        <f t="shared" si="0"/>
        <v>388.07070016860962</v>
      </c>
      <c r="F57" s="2">
        <f t="shared" si="3"/>
        <v>383.59837007522583</v>
      </c>
      <c r="G57" s="2">
        <f t="shared" si="1"/>
        <v>350.51704001426697</v>
      </c>
      <c r="H57" s="2">
        <f t="shared" si="2"/>
        <v>371.4981701374054</v>
      </c>
      <c r="I57" s="2">
        <f>E57</f>
        <v>388.07070016860962</v>
      </c>
      <c r="J57" s="2">
        <f t="shared" si="6"/>
        <v>238.62018013000488</v>
      </c>
      <c r="K57" s="2">
        <f t="shared" si="4"/>
        <v>375.63238000869751</v>
      </c>
      <c r="O57" s="2">
        <f>I57-I56</f>
        <v>50.071410179138184</v>
      </c>
    </row>
    <row r="58" spans="2:17" x14ac:dyDescent="0.25">
      <c r="B58" t="s">
        <v>1</v>
      </c>
      <c r="C58">
        <v>-19.3125</v>
      </c>
      <c r="D58" s="2">
        <v>1769404162.75931</v>
      </c>
      <c r="E58" s="2">
        <f t="shared" si="0"/>
        <v>395.60030007362366</v>
      </c>
      <c r="F58" s="2">
        <f t="shared" si="3"/>
        <v>383.59837007522583</v>
      </c>
      <c r="G58" s="2">
        <f t="shared" si="1"/>
        <v>350.51704001426697</v>
      </c>
      <c r="H58" s="2">
        <f>E58</f>
        <v>395.60030007362366</v>
      </c>
      <c r="I58" s="2">
        <f t="shared" si="5"/>
        <v>388.07070016860962</v>
      </c>
      <c r="J58" s="2">
        <f t="shared" si="6"/>
        <v>238.62018013000488</v>
      </c>
      <c r="K58" s="2">
        <f t="shared" si="4"/>
        <v>375.63238000869751</v>
      </c>
      <c r="N58" s="2">
        <f>H58-H57</f>
        <v>24.102129936218262</v>
      </c>
    </row>
    <row r="59" spans="2:17" x14ac:dyDescent="0.25">
      <c r="B59" t="s">
        <v>0</v>
      </c>
      <c r="C59">
        <v>466</v>
      </c>
      <c r="D59" s="2">
        <v>1769404167.75278</v>
      </c>
      <c r="E59" s="2">
        <f t="shared" si="0"/>
        <v>400.59377002716064</v>
      </c>
      <c r="F59" s="2">
        <f t="shared" si="3"/>
        <v>383.59837007522583</v>
      </c>
      <c r="G59" s="2">
        <f>E59</f>
        <v>400.59377002716064</v>
      </c>
      <c r="H59" s="2">
        <f t="shared" si="2"/>
        <v>395.60030007362366</v>
      </c>
      <c r="I59" s="2">
        <f t="shared" si="5"/>
        <v>388.07070016860962</v>
      </c>
      <c r="J59" s="2">
        <f t="shared" si="6"/>
        <v>238.62018013000488</v>
      </c>
      <c r="K59" s="2">
        <f t="shared" si="4"/>
        <v>375.63238000869751</v>
      </c>
      <c r="M59" s="2">
        <f>G59-G58</f>
        <v>50.076730012893677</v>
      </c>
    </row>
    <row r="60" spans="2:17" x14ac:dyDescent="0.25">
      <c r="B60" t="s">
        <v>2</v>
      </c>
      <c r="C60">
        <v>-19.25</v>
      </c>
      <c r="D60" s="2">
        <v>1769404174.8345599</v>
      </c>
      <c r="E60" s="2">
        <f t="shared" si="0"/>
        <v>407.67554998397827</v>
      </c>
      <c r="F60" s="2">
        <f>E60</f>
        <v>407.67554998397827</v>
      </c>
      <c r="G60" s="2">
        <f t="shared" si="1"/>
        <v>400.59377002716064</v>
      </c>
      <c r="H60" s="2">
        <f t="shared" si="2"/>
        <v>395.60030007362366</v>
      </c>
      <c r="I60" s="2">
        <f t="shared" si="5"/>
        <v>388.07070016860962</v>
      </c>
      <c r="J60" s="2">
        <f t="shared" si="6"/>
        <v>238.62018013000488</v>
      </c>
      <c r="K60" s="2">
        <f t="shared" si="4"/>
        <v>375.63238000869751</v>
      </c>
      <c r="L60" s="2">
        <f>F60-F59</f>
        <v>24.077179908752441</v>
      </c>
    </row>
    <row r="61" spans="2:17" x14ac:dyDescent="0.25">
      <c r="B61" t="s">
        <v>1</v>
      </c>
      <c r="C61">
        <v>-19.3125</v>
      </c>
      <c r="D61" s="2">
        <v>1769404186.9491301</v>
      </c>
      <c r="E61" s="2">
        <f t="shared" si="0"/>
        <v>419.79012012481689</v>
      </c>
      <c r="F61" s="2">
        <f t="shared" si="3"/>
        <v>407.67554998397827</v>
      </c>
      <c r="G61" s="2">
        <f t="shared" si="1"/>
        <v>400.59377002716064</v>
      </c>
      <c r="H61" s="2">
        <f>E61</f>
        <v>419.79012012481689</v>
      </c>
      <c r="I61" s="2">
        <f t="shared" si="5"/>
        <v>388.07070016860962</v>
      </c>
      <c r="J61" s="2">
        <f t="shared" si="6"/>
        <v>238.62018013000488</v>
      </c>
      <c r="K61" s="2">
        <f t="shared" si="4"/>
        <v>375.63238000869751</v>
      </c>
      <c r="N61" s="2">
        <f>H61-H60</f>
        <v>24.189820051193237</v>
      </c>
    </row>
    <row r="62" spans="2:17" x14ac:dyDescent="0.25">
      <c r="B62" t="s">
        <v>3</v>
      </c>
      <c r="C62">
        <v>24.625</v>
      </c>
      <c r="D62" s="2">
        <v>1769404192.79865</v>
      </c>
      <c r="E62" s="2">
        <f t="shared" si="0"/>
        <v>425.63964009284973</v>
      </c>
      <c r="F62" s="2">
        <f t="shared" si="3"/>
        <v>407.67554998397827</v>
      </c>
      <c r="G62" s="2">
        <f t="shared" si="1"/>
        <v>400.59377002716064</v>
      </c>
      <c r="H62" s="2">
        <f t="shared" si="2"/>
        <v>419.79012012481689</v>
      </c>
      <c r="I62" s="2">
        <f t="shared" si="5"/>
        <v>388.07070016860962</v>
      </c>
      <c r="J62" s="2">
        <f t="shared" si="6"/>
        <v>238.62018013000488</v>
      </c>
      <c r="K62" s="2">
        <f>E62</f>
        <v>425.63964009284973</v>
      </c>
      <c r="Q62" s="2">
        <f>K62-K61</f>
        <v>50.007260084152222</v>
      </c>
    </row>
    <row r="63" spans="2:17" x14ac:dyDescent="0.25">
      <c r="B63" s="3" t="s">
        <v>5</v>
      </c>
      <c r="C63">
        <v>-19.25</v>
      </c>
      <c r="D63" s="2">
        <v>1769404198.98737</v>
      </c>
      <c r="E63" s="2">
        <f t="shared" si="0"/>
        <v>431.82836008071899</v>
      </c>
      <c r="F63" s="2">
        <f t="shared" si="3"/>
        <v>407.67554998397827</v>
      </c>
      <c r="G63" s="2">
        <f t="shared" si="1"/>
        <v>400.59377002716064</v>
      </c>
      <c r="H63" s="2">
        <f t="shared" si="2"/>
        <v>419.79012012481689</v>
      </c>
      <c r="I63" s="2">
        <f t="shared" si="5"/>
        <v>388.07070016860962</v>
      </c>
      <c r="J63" s="2">
        <f>E63</f>
        <v>431.82836008071899</v>
      </c>
      <c r="K63" s="2">
        <f t="shared" si="4"/>
        <v>425.63964009284973</v>
      </c>
      <c r="P63" s="2">
        <f>J63-J62</f>
        <v>193.20817995071411</v>
      </c>
    </row>
    <row r="64" spans="2:17" x14ac:dyDescent="0.25">
      <c r="B64" t="s">
        <v>4</v>
      </c>
      <c r="C64">
        <v>30.875</v>
      </c>
      <c r="D64" s="2">
        <v>1769404205.35252</v>
      </c>
      <c r="E64" s="2">
        <f t="shared" si="0"/>
        <v>438.19351005554199</v>
      </c>
      <c r="F64" s="2">
        <f t="shared" si="3"/>
        <v>407.67554998397827</v>
      </c>
      <c r="G64" s="2">
        <f t="shared" si="1"/>
        <v>400.59377002716064</v>
      </c>
      <c r="H64" s="2">
        <f t="shared" si="2"/>
        <v>419.79012012481689</v>
      </c>
      <c r="I64" s="2">
        <f>E64</f>
        <v>438.19351005554199</v>
      </c>
      <c r="J64" s="2">
        <f t="shared" si="6"/>
        <v>431.82836008071899</v>
      </c>
      <c r="K64" s="2">
        <f t="shared" si="4"/>
        <v>425.63964009284973</v>
      </c>
      <c r="O64" s="2">
        <f>I64-I63</f>
        <v>50.122809886932373</v>
      </c>
    </row>
    <row r="65" spans="2:17" x14ac:dyDescent="0.25">
      <c r="B65" t="s">
        <v>1</v>
      </c>
      <c r="C65">
        <v>-19.3125</v>
      </c>
      <c r="D65" s="2">
        <v>1769404211.0608599</v>
      </c>
      <c r="E65" s="2">
        <f t="shared" si="0"/>
        <v>443.90184998512268</v>
      </c>
      <c r="F65" s="2">
        <f t="shared" si="3"/>
        <v>407.67554998397827</v>
      </c>
      <c r="G65" s="2">
        <f t="shared" si="1"/>
        <v>400.59377002716064</v>
      </c>
      <c r="H65" s="2">
        <f>E65</f>
        <v>443.90184998512268</v>
      </c>
      <c r="I65" s="2">
        <f t="shared" si="5"/>
        <v>438.19351005554199</v>
      </c>
      <c r="J65" s="2">
        <f t="shared" si="6"/>
        <v>431.82836008071899</v>
      </c>
      <c r="K65" s="2">
        <f t="shared" si="4"/>
        <v>425.63964009284973</v>
      </c>
      <c r="N65" s="2">
        <f>H65-H64</f>
        <v>24.111729860305786</v>
      </c>
    </row>
    <row r="66" spans="2:17" x14ac:dyDescent="0.25">
      <c r="B66" t="s">
        <v>0</v>
      </c>
      <c r="C66">
        <v>466</v>
      </c>
      <c r="D66" s="2">
        <v>1769404217.82458</v>
      </c>
      <c r="E66" s="2">
        <f t="shared" si="0"/>
        <v>450.66557002067566</v>
      </c>
      <c r="F66" s="2">
        <f t="shared" si="3"/>
        <v>407.67554998397827</v>
      </c>
      <c r="G66" s="2">
        <f>E66</f>
        <v>450.66557002067566</v>
      </c>
      <c r="H66" s="2">
        <f t="shared" si="2"/>
        <v>443.90184998512268</v>
      </c>
      <c r="I66" s="2">
        <f t="shared" si="5"/>
        <v>438.19351005554199</v>
      </c>
      <c r="J66" s="2">
        <f t="shared" si="6"/>
        <v>431.82836008071899</v>
      </c>
      <c r="K66" s="2">
        <f t="shared" si="4"/>
        <v>425.63964009284973</v>
      </c>
      <c r="M66" s="2">
        <f>G66-G65</f>
        <v>50.071799993515015</v>
      </c>
    </row>
    <row r="67" spans="2:17" x14ac:dyDescent="0.25">
      <c r="B67" t="s">
        <v>2</v>
      </c>
      <c r="C67">
        <v>-19.3125</v>
      </c>
      <c r="D67" s="2">
        <v>1769404223.2347801</v>
      </c>
      <c r="E67" s="2">
        <f t="shared" si="0"/>
        <v>456.07577013969421</v>
      </c>
      <c r="F67" s="2">
        <f>E67</f>
        <v>456.07577013969421</v>
      </c>
      <c r="G67" s="2">
        <f t="shared" si="1"/>
        <v>450.66557002067566</v>
      </c>
      <c r="H67" s="2">
        <f t="shared" si="2"/>
        <v>443.90184998512268</v>
      </c>
      <c r="I67" s="2">
        <f t="shared" si="5"/>
        <v>438.19351005554199</v>
      </c>
      <c r="J67" s="2">
        <f t="shared" si="6"/>
        <v>431.82836008071899</v>
      </c>
      <c r="K67" s="2">
        <f t="shared" si="4"/>
        <v>425.63964009284973</v>
      </c>
      <c r="L67" s="2">
        <f>F67-F66</f>
        <v>48.400220155715942</v>
      </c>
    </row>
    <row r="68" spans="2:17" x14ac:dyDescent="0.25">
      <c r="B68" t="s">
        <v>1</v>
      </c>
      <c r="C68">
        <v>-19.25</v>
      </c>
      <c r="D68" s="2">
        <v>1769404235.28422</v>
      </c>
      <c r="E68" s="2">
        <f t="shared" ref="E68:E96" si="7">D68-$D$3</f>
        <v>468.12521004676819</v>
      </c>
      <c r="F68" s="2">
        <f t="shared" si="3"/>
        <v>456.07577013969421</v>
      </c>
      <c r="G68" s="2">
        <f t="shared" si="1"/>
        <v>450.66557002067566</v>
      </c>
      <c r="H68" s="2">
        <f>E68</f>
        <v>468.12521004676819</v>
      </c>
      <c r="I68" s="2">
        <f t="shared" si="5"/>
        <v>438.19351005554199</v>
      </c>
      <c r="J68" s="2">
        <f t="shared" si="6"/>
        <v>431.82836008071899</v>
      </c>
      <c r="K68" s="2">
        <f t="shared" si="4"/>
        <v>425.63964009284973</v>
      </c>
      <c r="N68" s="2">
        <f>H68-H67</f>
        <v>24.223360061645508</v>
      </c>
    </row>
    <row r="69" spans="2:17" x14ac:dyDescent="0.25">
      <c r="B69" t="s">
        <v>3</v>
      </c>
      <c r="C69">
        <v>24.625</v>
      </c>
      <c r="D69" s="2">
        <v>1769404242.9230199</v>
      </c>
      <c r="E69" s="2">
        <f t="shared" si="7"/>
        <v>475.76400995254517</v>
      </c>
      <c r="F69" s="2">
        <f t="shared" si="3"/>
        <v>456.07577013969421</v>
      </c>
      <c r="G69" s="2">
        <f t="shared" ref="G69:G96" si="8">G68</f>
        <v>450.66557002067566</v>
      </c>
      <c r="H69" s="2">
        <f t="shared" si="2"/>
        <v>468.12521004676819</v>
      </c>
      <c r="I69" s="2">
        <f t="shared" si="5"/>
        <v>438.19351005554199</v>
      </c>
      <c r="J69" s="2">
        <f t="shared" si="6"/>
        <v>431.82836008071899</v>
      </c>
      <c r="K69" s="2">
        <f>E69</f>
        <v>475.76400995254517</v>
      </c>
      <c r="Q69" s="2">
        <f>K69-K68</f>
        <v>50.124369859695435</v>
      </c>
    </row>
    <row r="70" spans="2:17" x14ac:dyDescent="0.25">
      <c r="B70" t="s">
        <v>2</v>
      </c>
      <c r="C70">
        <v>-19.25</v>
      </c>
      <c r="D70" s="2">
        <v>1769404247.3503301</v>
      </c>
      <c r="E70" s="2">
        <f t="shared" si="7"/>
        <v>480.19132018089294</v>
      </c>
      <c r="F70" s="2">
        <f>E70</f>
        <v>480.19132018089294</v>
      </c>
      <c r="G70" s="2">
        <f t="shared" si="8"/>
        <v>450.66557002067566</v>
      </c>
      <c r="H70" s="2">
        <f t="shared" ref="H70:H96" si="9">H69</f>
        <v>468.12521004676819</v>
      </c>
      <c r="I70" s="2">
        <f t="shared" si="5"/>
        <v>438.19351005554199</v>
      </c>
      <c r="J70" s="2">
        <f t="shared" si="6"/>
        <v>431.82836008071899</v>
      </c>
      <c r="K70" s="2">
        <f t="shared" si="4"/>
        <v>475.76400995254517</v>
      </c>
      <c r="L70" s="2">
        <f>F70-F69</f>
        <v>24.11555004119873</v>
      </c>
    </row>
    <row r="71" spans="2:17" x14ac:dyDescent="0.25">
      <c r="B71" t="s">
        <v>4</v>
      </c>
      <c r="C71">
        <v>30.875</v>
      </c>
      <c r="D71" s="2">
        <v>1769404255.3812001</v>
      </c>
      <c r="E71" s="2">
        <f t="shared" si="7"/>
        <v>488.22219014167786</v>
      </c>
      <c r="F71" s="2">
        <f t="shared" ref="F71:F96" si="10">F70</f>
        <v>480.19132018089294</v>
      </c>
      <c r="G71" s="2">
        <f t="shared" si="8"/>
        <v>450.66557002067566</v>
      </c>
      <c r="H71" s="2">
        <f t="shared" si="9"/>
        <v>468.12521004676819</v>
      </c>
      <c r="I71" s="2">
        <f>E71</f>
        <v>488.22219014167786</v>
      </c>
      <c r="J71" s="2">
        <f t="shared" si="6"/>
        <v>431.82836008071899</v>
      </c>
      <c r="K71" s="2">
        <f t="shared" si="4"/>
        <v>475.76400995254517</v>
      </c>
      <c r="O71" s="2">
        <f>I71-I70</f>
        <v>50.028680086135864</v>
      </c>
    </row>
    <row r="72" spans="2:17" x14ac:dyDescent="0.25">
      <c r="B72" t="s">
        <v>1</v>
      </c>
      <c r="C72">
        <v>-19.3125</v>
      </c>
      <c r="D72" s="2">
        <v>1769404259.3543301</v>
      </c>
      <c r="E72" s="2">
        <f t="shared" si="7"/>
        <v>492.19532012939453</v>
      </c>
      <c r="F72" s="2">
        <f t="shared" si="10"/>
        <v>480.19132018089294</v>
      </c>
      <c r="G72" s="2">
        <f t="shared" si="8"/>
        <v>450.66557002067566</v>
      </c>
      <c r="H72" s="2">
        <f>E72</f>
        <v>492.19532012939453</v>
      </c>
      <c r="I72" s="2">
        <f t="shared" si="5"/>
        <v>488.22219014167786</v>
      </c>
      <c r="J72" s="2">
        <f t="shared" si="6"/>
        <v>431.82836008071899</v>
      </c>
      <c r="K72" s="2">
        <f t="shared" ref="K72:K96" si="11">K71</f>
        <v>475.76400995254517</v>
      </c>
      <c r="N72" s="2">
        <f>H72-H71</f>
        <v>24.070110082626343</v>
      </c>
    </row>
    <row r="73" spans="2:17" x14ac:dyDescent="0.25">
      <c r="B73" t="s">
        <v>0</v>
      </c>
      <c r="C73">
        <v>468</v>
      </c>
      <c r="D73" s="2">
        <v>1769404267.93662</v>
      </c>
      <c r="E73" s="2">
        <f t="shared" si="7"/>
        <v>500.77761006355286</v>
      </c>
      <c r="F73" s="2">
        <f t="shared" si="10"/>
        <v>480.19132018089294</v>
      </c>
      <c r="G73" s="2">
        <f>E73</f>
        <v>500.77761006355286</v>
      </c>
      <c r="H73" s="2">
        <f t="shared" si="9"/>
        <v>492.19532012939453</v>
      </c>
      <c r="I73" s="2">
        <f t="shared" si="5"/>
        <v>488.22219014167786</v>
      </c>
      <c r="J73" s="2">
        <f t="shared" si="6"/>
        <v>431.82836008071899</v>
      </c>
      <c r="K73" s="2">
        <f t="shared" si="11"/>
        <v>475.76400995254517</v>
      </c>
      <c r="M73" s="2">
        <f>G73-G72</f>
        <v>50.112040042877197</v>
      </c>
    </row>
    <row r="74" spans="2:17" x14ac:dyDescent="0.25">
      <c r="B74" s="3" t="s">
        <v>5</v>
      </c>
      <c r="C74">
        <v>-19.25</v>
      </c>
      <c r="D74" s="2">
        <v>1769404271.43361</v>
      </c>
      <c r="E74" s="2">
        <f t="shared" si="7"/>
        <v>504.2746000289917</v>
      </c>
      <c r="F74" s="2">
        <f t="shared" si="10"/>
        <v>480.19132018089294</v>
      </c>
      <c r="G74" s="2">
        <f t="shared" si="8"/>
        <v>500.77761006355286</v>
      </c>
      <c r="H74" s="2">
        <f t="shared" si="9"/>
        <v>492.19532012939453</v>
      </c>
      <c r="I74" s="2">
        <f t="shared" ref="I74:I96" si="12">I73</f>
        <v>488.22219014167786</v>
      </c>
      <c r="J74" s="2">
        <f>E74</f>
        <v>504.2746000289917</v>
      </c>
      <c r="K74" s="2">
        <f t="shared" si="11"/>
        <v>475.76400995254517</v>
      </c>
      <c r="P74" s="2">
        <f>J74-J73</f>
        <v>72.446239948272705</v>
      </c>
    </row>
    <row r="75" spans="2:17" x14ac:dyDescent="0.25">
      <c r="B75" t="s">
        <v>1</v>
      </c>
      <c r="C75">
        <v>-19.3125</v>
      </c>
      <c r="D75" s="2">
        <v>1769404283.5163801</v>
      </c>
      <c r="E75" s="2">
        <f t="shared" si="7"/>
        <v>516.35737013816833</v>
      </c>
      <c r="F75" s="2">
        <f t="shared" si="10"/>
        <v>480.19132018089294</v>
      </c>
      <c r="G75" s="2">
        <f t="shared" si="8"/>
        <v>500.77761006355286</v>
      </c>
      <c r="H75" s="2">
        <f>E75</f>
        <v>516.35737013816833</v>
      </c>
      <c r="I75" s="2">
        <f t="shared" si="12"/>
        <v>488.22219014167786</v>
      </c>
      <c r="J75" s="2">
        <f t="shared" si="6"/>
        <v>504.2746000289917</v>
      </c>
      <c r="K75" s="2">
        <f t="shared" si="11"/>
        <v>475.76400995254517</v>
      </c>
      <c r="N75" s="2">
        <f>H75-H74</f>
        <v>24.162050008773804</v>
      </c>
    </row>
    <row r="76" spans="2:17" x14ac:dyDescent="0.25">
      <c r="B76" t="s">
        <v>3</v>
      </c>
      <c r="C76">
        <v>24.625</v>
      </c>
      <c r="D76" s="2">
        <v>1769404293.0511899</v>
      </c>
      <c r="E76" s="2">
        <f t="shared" si="7"/>
        <v>525.8921799659729</v>
      </c>
      <c r="F76" s="2">
        <f t="shared" si="10"/>
        <v>480.19132018089294</v>
      </c>
      <c r="G76" s="2">
        <f t="shared" si="8"/>
        <v>500.77761006355286</v>
      </c>
      <c r="H76" s="2">
        <f t="shared" si="9"/>
        <v>516.35737013816833</v>
      </c>
      <c r="I76" s="2">
        <f t="shared" si="12"/>
        <v>488.22219014167786</v>
      </c>
      <c r="J76" s="2">
        <f t="shared" si="6"/>
        <v>504.2746000289917</v>
      </c>
      <c r="K76" s="2">
        <f>E76</f>
        <v>525.8921799659729</v>
      </c>
      <c r="Q76" s="2">
        <f>K76-K75</f>
        <v>50.128170013427734</v>
      </c>
    </row>
    <row r="77" spans="2:17" x14ac:dyDescent="0.25">
      <c r="B77" t="s">
        <v>2</v>
      </c>
      <c r="C77">
        <v>-19.25</v>
      </c>
      <c r="D77" s="2">
        <v>1769404295.6001501</v>
      </c>
      <c r="E77" s="2">
        <f t="shared" si="7"/>
        <v>528.44114017486572</v>
      </c>
      <c r="F77" s="2">
        <f>E77</f>
        <v>528.44114017486572</v>
      </c>
      <c r="G77" s="2">
        <f t="shared" si="8"/>
        <v>500.77761006355286</v>
      </c>
      <c r="H77" s="2">
        <f t="shared" si="9"/>
        <v>516.35737013816833</v>
      </c>
      <c r="I77" s="2">
        <f t="shared" si="12"/>
        <v>488.22219014167786</v>
      </c>
      <c r="J77" s="2">
        <f t="shared" si="6"/>
        <v>504.2746000289917</v>
      </c>
      <c r="K77" s="2">
        <f t="shared" si="11"/>
        <v>525.8921799659729</v>
      </c>
      <c r="L77" s="2">
        <f>F77-F76</f>
        <v>48.249819993972778</v>
      </c>
    </row>
    <row r="78" spans="2:17" x14ac:dyDescent="0.25">
      <c r="B78" t="s">
        <v>4</v>
      </c>
      <c r="C78">
        <v>30.625</v>
      </c>
      <c r="D78" s="2">
        <v>1769404305.4567299</v>
      </c>
      <c r="E78" s="2">
        <f t="shared" si="7"/>
        <v>538.29771995544434</v>
      </c>
      <c r="F78" s="2">
        <f t="shared" si="10"/>
        <v>528.44114017486572</v>
      </c>
      <c r="G78" s="2">
        <f t="shared" si="8"/>
        <v>500.77761006355286</v>
      </c>
      <c r="H78" s="2">
        <f t="shared" si="9"/>
        <v>516.35737013816833</v>
      </c>
      <c r="I78" s="2">
        <f>E78</f>
        <v>538.29771995544434</v>
      </c>
      <c r="J78" s="2">
        <f t="shared" si="6"/>
        <v>504.2746000289917</v>
      </c>
      <c r="K78" s="2">
        <f t="shared" si="11"/>
        <v>525.8921799659729</v>
      </c>
      <c r="O78" s="2">
        <f>I78-I77</f>
        <v>50.075529813766479</v>
      </c>
    </row>
    <row r="79" spans="2:17" x14ac:dyDescent="0.25">
      <c r="B79" t="s">
        <v>1</v>
      </c>
      <c r="C79">
        <v>-19.25</v>
      </c>
      <c r="D79" s="2">
        <v>1769404307.68694</v>
      </c>
      <c r="E79" s="2">
        <f t="shared" si="7"/>
        <v>540.52793002128601</v>
      </c>
      <c r="F79" s="2">
        <f t="shared" si="10"/>
        <v>528.44114017486572</v>
      </c>
      <c r="G79" s="2">
        <f t="shared" si="8"/>
        <v>500.77761006355286</v>
      </c>
      <c r="H79" s="2">
        <f>E79</f>
        <v>540.52793002128601</v>
      </c>
      <c r="I79" s="2">
        <f t="shared" si="12"/>
        <v>538.29771995544434</v>
      </c>
      <c r="J79" s="2">
        <f t="shared" si="6"/>
        <v>504.2746000289917</v>
      </c>
      <c r="K79" s="2">
        <f t="shared" si="11"/>
        <v>525.8921799659729</v>
      </c>
      <c r="N79" s="2">
        <f>H79-H78</f>
        <v>24.170559883117676</v>
      </c>
    </row>
    <row r="80" spans="2:17" x14ac:dyDescent="0.25">
      <c r="B80" t="s">
        <v>0</v>
      </c>
      <c r="C80">
        <v>466</v>
      </c>
      <c r="D80" s="2">
        <v>1769404317.9788001</v>
      </c>
      <c r="E80" s="2">
        <f t="shared" si="7"/>
        <v>550.81979012489319</v>
      </c>
      <c r="F80" s="2">
        <f t="shared" si="10"/>
        <v>528.44114017486572</v>
      </c>
      <c r="G80" s="2">
        <f>E80</f>
        <v>550.81979012489319</v>
      </c>
      <c r="H80" s="2">
        <f t="shared" si="9"/>
        <v>540.52793002128601</v>
      </c>
      <c r="I80" s="2">
        <f t="shared" si="12"/>
        <v>538.29771995544434</v>
      </c>
      <c r="J80" s="2">
        <f t="shared" si="6"/>
        <v>504.2746000289917</v>
      </c>
      <c r="K80" s="2">
        <f t="shared" si="11"/>
        <v>525.8921799659729</v>
      </c>
      <c r="M80" s="2">
        <f>G80-G79</f>
        <v>50.042180061340332</v>
      </c>
    </row>
    <row r="81" spans="2:17" x14ac:dyDescent="0.25">
      <c r="B81" t="s">
        <v>2</v>
      </c>
      <c r="C81">
        <v>-19.25</v>
      </c>
      <c r="D81" s="2">
        <v>1769404319.73984</v>
      </c>
      <c r="E81" s="2">
        <f t="shared" si="7"/>
        <v>552.58083009719849</v>
      </c>
      <c r="F81" s="2">
        <f>E81</f>
        <v>552.58083009719849</v>
      </c>
      <c r="G81" s="2">
        <f t="shared" si="8"/>
        <v>550.81979012489319</v>
      </c>
      <c r="H81" s="2">
        <f t="shared" si="9"/>
        <v>540.52793002128601</v>
      </c>
      <c r="I81" s="2">
        <f t="shared" si="12"/>
        <v>538.29771995544434</v>
      </c>
      <c r="J81" s="2">
        <f t="shared" si="6"/>
        <v>504.2746000289917</v>
      </c>
      <c r="K81" s="2">
        <f t="shared" si="11"/>
        <v>525.8921799659729</v>
      </c>
      <c r="L81" s="2">
        <f>F81-F80</f>
        <v>24.139689922332764</v>
      </c>
    </row>
    <row r="82" spans="2:17" x14ac:dyDescent="0.25">
      <c r="B82" t="s">
        <v>1</v>
      </c>
      <c r="C82">
        <v>-19.3125</v>
      </c>
      <c r="D82" s="2">
        <v>1769404331.8282001</v>
      </c>
      <c r="E82" s="2">
        <f t="shared" si="7"/>
        <v>564.66919016838074</v>
      </c>
      <c r="F82" s="2">
        <f t="shared" si="10"/>
        <v>552.58083009719849</v>
      </c>
      <c r="G82" s="2">
        <f t="shared" si="8"/>
        <v>550.81979012489319</v>
      </c>
      <c r="H82" s="2">
        <f>E82</f>
        <v>564.66919016838074</v>
      </c>
      <c r="I82" s="2">
        <f t="shared" si="12"/>
        <v>538.29771995544434</v>
      </c>
      <c r="J82" s="2">
        <f t="shared" si="6"/>
        <v>504.2746000289917</v>
      </c>
      <c r="K82" s="2">
        <f t="shared" si="11"/>
        <v>525.8921799659729</v>
      </c>
      <c r="N82" s="2">
        <f>H82-H81</f>
        <v>24.141260147094727</v>
      </c>
    </row>
    <row r="83" spans="2:17" x14ac:dyDescent="0.25">
      <c r="B83" t="s">
        <v>3</v>
      </c>
      <c r="C83">
        <v>24.625</v>
      </c>
      <c r="D83" s="2">
        <v>1769404343.02425</v>
      </c>
      <c r="E83" s="2">
        <f t="shared" si="7"/>
        <v>575.8652400970459</v>
      </c>
      <c r="F83" s="2">
        <f t="shared" si="10"/>
        <v>552.58083009719849</v>
      </c>
      <c r="G83" s="2">
        <f t="shared" si="8"/>
        <v>550.81979012489319</v>
      </c>
      <c r="H83" s="2">
        <f t="shared" si="9"/>
        <v>564.66919016838074</v>
      </c>
      <c r="I83" s="2">
        <f t="shared" si="12"/>
        <v>538.29771995544434</v>
      </c>
      <c r="J83" s="2">
        <f t="shared" si="6"/>
        <v>504.2746000289917</v>
      </c>
      <c r="K83" s="2">
        <f>E83</f>
        <v>575.8652400970459</v>
      </c>
      <c r="Q83" s="2">
        <f>K83-K82</f>
        <v>49.973060131072998</v>
      </c>
    </row>
    <row r="84" spans="2:17" x14ac:dyDescent="0.25">
      <c r="B84" t="s">
        <v>2</v>
      </c>
      <c r="C84">
        <v>-19.25</v>
      </c>
      <c r="D84" s="2">
        <v>1769404343.99016</v>
      </c>
      <c r="E84" s="2">
        <f t="shared" si="7"/>
        <v>576.83115005493164</v>
      </c>
      <c r="F84" s="2">
        <f>E84</f>
        <v>576.83115005493164</v>
      </c>
      <c r="G84" s="2">
        <f t="shared" si="8"/>
        <v>550.81979012489319</v>
      </c>
      <c r="H84" s="2">
        <f t="shared" si="9"/>
        <v>564.66919016838074</v>
      </c>
      <c r="I84" s="2">
        <f t="shared" si="12"/>
        <v>538.29771995544434</v>
      </c>
      <c r="J84" s="2">
        <f t="shared" si="6"/>
        <v>504.2746000289917</v>
      </c>
      <c r="K84" s="2">
        <f t="shared" si="11"/>
        <v>575.8652400970459</v>
      </c>
      <c r="L84" s="2">
        <f>F84-F83</f>
        <v>24.250319957733154</v>
      </c>
    </row>
    <row r="85" spans="2:17" x14ac:dyDescent="0.25">
      <c r="B85" t="s">
        <v>4</v>
      </c>
      <c r="C85">
        <v>30.8125</v>
      </c>
      <c r="D85" s="2">
        <v>1769404355.5281401</v>
      </c>
      <c r="E85" s="2">
        <f t="shared" si="7"/>
        <v>588.36913013458252</v>
      </c>
      <c r="F85" s="2">
        <f t="shared" si="10"/>
        <v>576.83115005493164</v>
      </c>
      <c r="G85" s="2">
        <f t="shared" si="8"/>
        <v>550.81979012489319</v>
      </c>
      <c r="H85" s="2">
        <f t="shared" si="9"/>
        <v>564.66919016838074</v>
      </c>
      <c r="I85" s="2">
        <f>E85</f>
        <v>588.36913013458252</v>
      </c>
      <c r="J85" s="2">
        <f t="shared" si="6"/>
        <v>504.2746000289917</v>
      </c>
      <c r="K85" s="2">
        <f t="shared" si="11"/>
        <v>575.8652400970459</v>
      </c>
      <c r="O85" s="2">
        <f>I85-I84</f>
        <v>50.071410179138184</v>
      </c>
    </row>
    <row r="86" spans="2:17" x14ac:dyDescent="0.25">
      <c r="B86" t="s">
        <v>1</v>
      </c>
      <c r="C86">
        <v>-19.25</v>
      </c>
      <c r="D86" s="2">
        <v>1769404355.9781401</v>
      </c>
      <c r="E86" s="2">
        <f t="shared" si="7"/>
        <v>588.81913018226624</v>
      </c>
      <c r="F86" s="2">
        <f t="shared" si="10"/>
        <v>576.83115005493164</v>
      </c>
      <c r="G86" s="2">
        <f t="shared" si="8"/>
        <v>550.81979012489319</v>
      </c>
      <c r="H86" s="2">
        <f>E86</f>
        <v>588.81913018226624</v>
      </c>
      <c r="I86" s="2">
        <f t="shared" si="12"/>
        <v>588.36913013458252</v>
      </c>
      <c r="J86" s="2">
        <f t="shared" si="6"/>
        <v>504.2746000289917</v>
      </c>
      <c r="K86" s="2">
        <f t="shared" si="11"/>
        <v>575.8652400970459</v>
      </c>
      <c r="N86" s="2">
        <f>H86-H85</f>
        <v>24.149940013885498</v>
      </c>
    </row>
    <row r="87" spans="2:17" x14ac:dyDescent="0.25">
      <c r="B87" t="s">
        <v>0</v>
      </c>
      <c r="C87">
        <v>462</v>
      </c>
      <c r="D87" s="2">
        <v>1769404368.1370201</v>
      </c>
      <c r="E87" s="2">
        <f t="shared" si="7"/>
        <v>600.9780101776123</v>
      </c>
      <c r="F87" s="2">
        <f t="shared" si="10"/>
        <v>576.83115005493164</v>
      </c>
      <c r="G87" s="2">
        <f>E87</f>
        <v>600.9780101776123</v>
      </c>
      <c r="H87" s="2">
        <f t="shared" si="9"/>
        <v>588.81913018226624</v>
      </c>
      <c r="I87" s="2">
        <f t="shared" si="12"/>
        <v>588.36913013458252</v>
      </c>
      <c r="J87" s="2">
        <f t="shared" si="6"/>
        <v>504.2746000289917</v>
      </c>
      <c r="K87" s="2">
        <f t="shared" si="11"/>
        <v>575.8652400970459</v>
      </c>
      <c r="M87" s="2">
        <f>G87-G86</f>
        <v>50.158220052719116</v>
      </c>
    </row>
    <row r="88" spans="2:17" x14ac:dyDescent="0.25">
      <c r="B88" t="s">
        <v>2</v>
      </c>
      <c r="C88">
        <v>-19.25</v>
      </c>
      <c r="D88" s="2">
        <v>1769404368.1370201</v>
      </c>
      <c r="E88" s="2">
        <f t="shared" si="7"/>
        <v>600.9780101776123</v>
      </c>
      <c r="F88" s="2">
        <f>E88</f>
        <v>600.9780101776123</v>
      </c>
      <c r="G88" s="2">
        <f t="shared" si="8"/>
        <v>600.9780101776123</v>
      </c>
      <c r="H88" s="2">
        <f t="shared" si="9"/>
        <v>588.81913018226624</v>
      </c>
      <c r="I88" s="2">
        <f t="shared" si="12"/>
        <v>588.36913013458252</v>
      </c>
      <c r="J88" s="2">
        <f t="shared" si="6"/>
        <v>504.2746000289917</v>
      </c>
      <c r="K88" s="2">
        <f t="shared" si="11"/>
        <v>575.8652400970459</v>
      </c>
      <c r="L88" s="2">
        <f>F88-F87</f>
        <v>24.146860122680664</v>
      </c>
    </row>
    <row r="89" spans="2:17" x14ac:dyDescent="0.25">
      <c r="B89" t="s">
        <v>1</v>
      </c>
      <c r="C89">
        <v>-19.25</v>
      </c>
      <c r="D89" s="2">
        <v>1769404380.13761</v>
      </c>
      <c r="E89" s="2">
        <f t="shared" si="7"/>
        <v>612.978600025177</v>
      </c>
      <c r="F89" s="2">
        <f t="shared" si="10"/>
        <v>600.9780101776123</v>
      </c>
      <c r="G89" s="2">
        <f t="shared" si="8"/>
        <v>600.9780101776123</v>
      </c>
      <c r="H89" s="2">
        <f>E89</f>
        <v>612.978600025177</v>
      </c>
      <c r="I89" s="2">
        <f t="shared" si="12"/>
        <v>588.36913013458252</v>
      </c>
      <c r="J89" s="2">
        <f t="shared" si="6"/>
        <v>504.2746000289917</v>
      </c>
      <c r="K89" s="2">
        <f t="shared" si="11"/>
        <v>575.8652400970459</v>
      </c>
      <c r="N89" s="2">
        <f>H89-H88</f>
        <v>24.159469842910767</v>
      </c>
    </row>
    <row r="90" spans="2:17" x14ac:dyDescent="0.25">
      <c r="B90" t="s">
        <v>2</v>
      </c>
      <c r="C90">
        <v>-19.25</v>
      </c>
      <c r="D90" s="2">
        <v>1769404392.30704</v>
      </c>
      <c r="E90" s="2">
        <f t="shared" si="7"/>
        <v>625.14803004264832</v>
      </c>
      <c r="F90" s="2">
        <f>E90</f>
        <v>625.14803004264832</v>
      </c>
      <c r="G90" s="2">
        <f t="shared" si="8"/>
        <v>600.9780101776123</v>
      </c>
      <c r="H90" s="2">
        <f t="shared" si="9"/>
        <v>612.978600025177</v>
      </c>
      <c r="I90" s="2">
        <f t="shared" si="12"/>
        <v>588.36913013458252</v>
      </c>
      <c r="J90" s="2">
        <f t="shared" si="6"/>
        <v>504.2746000289917</v>
      </c>
      <c r="K90" s="2">
        <f t="shared" si="11"/>
        <v>575.8652400970459</v>
      </c>
      <c r="L90" s="2">
        <f>F90-F89</f>
        <v>24.170019865036011</v>
      </c>
    </row>
    <row r="91" spans="2:17" x14ac:dyDescent="0.25">
      <c r="B91" t="s">
        <v>3</v>
      </c>
      <c r="C91">
        <v>24.625</v>
      </c>
      <c r="D91" s="2">
        <v>1769404393.1050999</v>
      </c>
      <c r="E91" s="2">
        <f t="shared" si="7"/>
        <v>625.94608998298645</v>
      </c>
      <c r="F91" s="2">
        <f t="shared" si="10"/>
        <v>625.14803004264832</v>
      </c>
      <c r="G91" s="2">
        <f t="shared" si="8"/>
        <v>600.9780101776123</v>
      </c>
      <c r="H91" s="2">
        <f t="shared" si="9"/>
        <v>612.978600025177</v>
      </c>
      <c r="I91" s="2">
        <f t="shared" si="12"/>
        <v>588.36913013458252</v>
      </c>
      <c r="J91" s="2">
        <f t="shared" si="6"/>
        <v>504.2746000289917</v>
      </c>
      <c r="K91" s="2">
        <f>E91</f>
        <v>625.94608998298645</v>
      </c>
      <c r="Q91" s="2">
        <f>K91-K90</f>
        <v>50.080849885940552</v>
      </c>
    </row>
    <row r="92" spans="2:17" x14ac:dyDescent="0.25">
      <c r="B92" t="s">
        <v>1</v>
      </c>
      <c r="C92">
        <v>-19.25</v>
      </c>
      <c r="D92" s="2">
        <v>1769404404.2957599</v>
      </c>
      <c r="E92" s="2">
        <f t="shared" si="7"/>
        <v>637.13674998283386</v>
      </c>
      <c r="F92" s="2">
        <f t="shared" si="10"/>
        <v>625.14803004264832</v>
      </c>
      <c r="G92" s="2">
        <f t="shared" si="8"/>
        <v>600.9780101776123</v>
      </c>
      <c r="H92" s="2">
        <f>E92</f>
        <v>637.13674998283386</v>
      </c>
      <c r="I92" s="2">
        <f t="shared" si="12"/>
        <v>588.36913013458252</v>
      </c>
      <c r="J92" s="2">
        <f t="shared" si="6"/>
        <v>504.2746000289917</v>
      </c>
      <c r="K92" s="2">
        <f t="shared" si="11"/>
        <v>625.94608998298645</v>
      </c>
      <c r="N92" s="2">
        <f>H92-H91</f>
        <v>24.15814995765686</v>
      </c>
    </row>
    <row r="93" spans="2:17" x14ac:dyDescent="0.25">
      <c r="B93" t="s">
        <v>4</v>
      </c>
      <c r="C93">
        <v>30.75</v>
      </c>
      <c r="D93" s="2">
        <v>1769404405.59092</v>
      </c>
      <c r="E93" s="2">
        <f t="shared" si="7"/>
        <v>638.43191003799438</v>
      </c>
      <c r="F93" s="2">
        <f t="shared" si="10"/>
        <v>625.14803004264832</v>
      </c>
      <c r="G93" s="2">
        <f t="shared" si="8"/>
        <v>600.9780101776123</v>
      </c>
      <c r="H93" s="2">
        <f t="shared" si="9"/>
        <v>637.13674998283386</v>
      </c>
      <c r="I93" s="2">
        <f>E93</f>
        <v>638.43191003799438</v>
      </c>
      <c r="J93" s="2">
        <f t="shared" si="6"/>
        <v>504.2746000289917</v>
      </c>
      <c r="K93" s="2">
        <f t="shared" si="11"/>
        <v>625.94608998298645</v>
      </c>
      <c r="O93" s="2">
        <f>I93-I92</f>
        <v>50.062779903411865</v>
      </c>
    </row>
    <row r="94" spans="2:17" x14ac:dyDescent="0.25">
      <c r="B94" t="s">
        <v>2</v>
      </c>
      <c r="C94">
        <v>-19.25</v>
      </c>
      <c r="D94" s="2">
        <v>1769404416.44155</v>
      </c>
      <c r="E94" s="2">
        <f t="shared" si="7"/>
        <v>649.28254008293152</v>
      </c>
      <c r="F94" s="2">
        <f>E94</f>
        <v>649.28254008293152</v>
      </c>
      <c r="G94" s="2">
        <f t="shared" si="8"/>
        <v>600.9780101776123</v>
      </c>
      <c r="H94" s="2">
        <f t="shared" si="9"/>
        <v>637.13674998283386</v>
      </c>
      <c r="I94" s="2">
        <f t="shared" si="12"/>
        <v>638.43191003799438</v>
      </c>
      <c r="J94" s="2">
        <f t="shared" si="6"/>
        <v>504.2746000289917</v>
      </c>
      <c r="K94" s="2">
        <f t="shared" si="11"/>
        <v>625.94608998298645</v>
      </c>
      <c r="L94" s="2">
        <f>F94-F93</f>
        <v>24.134510040283203</v>
      </c>
    </row>
    <row r="95" spans="2:17" x14ac:dyDescent="0.25">
      <c r="B95" t="s">
        <v>0</v>
      </c>
      <c r="C95">
        <v>469</v>
      </c>
      <c r="D95" s="2">
        <v>1769404418.13888</v>
      </c>
      <c r="E95" s="2">
        <f t="shared" si="7"/>
        <v>650.97987008094788</v>
      </c>
      <c r="F95" s="2">
        <f t="shared" si="10"/>
        <v>649.28254008293152</v>
      </c>
      <c r="G95" s="2">
        <f>E95</f>
        <v>650.97987008094788</v>
      </c>
      <c r="H95" s="2">
        <f t="shared" si="9"/>
        <v>637.13674998283386</v>
      </c>
      <c r="I95" s="2">
        <f t="shared" si="12"/>
        <v>638.43191003799438</v>
      </c>
      <c r="J95" s="2">
        <f t="shared" si="6"/>
        <v>504.2746000289917</v>
      </c>
      <c r="K95" s="2">
        <f t="shared" si="11"/>
        <v>625.94608998298645</v>
      </c>
      <c r="M95" s="2">
        <f>G95-G94</f>
        <v>50.001859903335571</v>
      </c>
    </row>
    <row r="96" spans="2:17" x14ac:dyDescent="0.25">
      <c r="B96" t="s">
        <v>1</v>
      </c>
      <c r="C96">
        <v>-19.25</v>
      </c>
      <c r="D96" s="2">
        <v>1769404428.4567101</v>
      </c>
      <c r="E96" s="2">
        <f t="shared" si="7"/>
        <v>661.29770016670227</v>
      </c>
      <c r="F96" s="2">
        <f t="shared" si="10"/>
        <v>649.28254008293152</v>
      </c>
      <c r="G96" s="2">
        <f t="shared" si="8"/>
        <v>650.97987008094788</v>
      </c>
      <c r="H96" s="2">
        <f>E96</f>
        <v>661.29770016670227</v>
      </c>
      <c r="I96" s="2">
        <f t="shared" si="12"/>
        <v>638.43191003799438</v>
      </c>
      <c r="J96" s="2">
        <f t="shared" si="6"/>
        <v>504.2746000289917</v>
      </c>
      <c r="K96" s="2">
        <f t="shared" si="11"/>
        <v>625.94608998298645</v>
      </c>
      <c r="N96" s="2">
        <f>H96-H95</f>
        <v>24.160950183868408</v>
      </c>
    </row>
  </sheetData>
  <autoFilter ref="B2:D96" xr:uid="{41DA3985-520E-4141-8E7F-ADB5C423C179}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Brazhnikov Vladimir</dc:creator>
  <cp:lastModifiedBy>Brazhnikov Vladimir</cp:lastModifiedBy>
  <dcterms:created xsi:type="dcterms:W3CDTF">2026-01-26T05:16:02Z</dcterms:created>
  <dcterms:modified xsi:type="dcterms:W3CDTF">2026-01-26T06:01:01Z</dcterms:modified>
</cp:coreProperties>
</file>